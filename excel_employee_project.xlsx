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rshan_ap\Downloads\"/>
    </mc:Choice>
  </mc:AlternateContent>
  <xr:revisionPtr revIDLastSave="0" documentId="13_ncr:1_{12BC9D7A-5062-46CC-896B-3BA0E23F4477}" xr6:coauthVersionLast="47" xr6:coauthVersionMax="47" xr10:uidLastSave="{00000000-0000-0000-0000-000000000000}"/>
  <bookViews>
    <workbookView xWindow="-108" yWindow="-108" windowWidth="23256" windowHeight="12456" activeTab="1" xr2:uid="{00000000-000D-0000-FFFF-FFFF00000000}"/>
  </bookViews>
  <sheets>
    <sheet name="Dashboard" sheetId="2" r:id="rId1"/>
    <sheet name="Employee_Data" sheetId="1" r:id="rId2"/>
  </sheets>
  <definedNames>
    <definedName name="Slicer_City">#N/A</definedName>
    <definedName name="Slicer_Departmen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K2" i="1"/>
  <c r="L2" i="1"/>
  <c r="M2" i="1" a="1"/>
  <c r="M2" i="1"/>
  <c r="J3" i="1"/>
  <c r="K3" i="1"/>
  <c r="L3" i="1"/>
  <c r="M3" i="1" a="1"/>
  <c r="M3" i="1"/>
  <c r="J4" i="1"/>
  <c r="K4" i="1"/>
  <c r="L4" i="1"/>
  <c r="M4" i="1" a="1"/>
  <c r="M4" i="1"/>
  <c r="J5" i="1"/>
  <c r="K5" i="1"/>
  <c r="L5" i="1"/>
  <c r="M5" i="1" a="1"/>
  <c r="M5" i="1"/>
  <c r="J6" i="1"/>
  <c r="K6" i="1"/>
  <c r="L6" i="1"/>
  <c r="M6" i="1" a="1"/>
  <c r="M6" i="1"/>
  <c r="J7" i="1"/>
  <c r="K7" i="1"/>
  <c r="L7" i="1"/>
  <c r="M7" i="1" a="1"/>
  <c r="M7" i="1"/>
  <c r="J8" i="1"/>
  <c r="K8" i="1"/>
  <c r="L8" i="1"/>
  <c r="M8" i="1" a="1"/>
  <c r="M8" i="1"/>
  <c r="J9" i="1"/>
  <c r="K9" i="1"/>
  <c r="L9" i="1"/>
  <c r="M9" i="1" a="1"/>
  <c r="M9" i="1"/>
  <c r="J10" i="1"/>
  <c r="K10" i="1"/>
  <c r="L10" i="1"/>
  <c r="M10" i="1" a="1"/>
  <c r="M10" i="1"/>
  <c r="J11" i="1"/>
  <c r="K11" i="1"/>
  <c r="L11" i="1"/>
  <c r="M11" i="1" a="1"/>
  <c r="M11" i="1"/>
  <c r="J12" i="1"/>
  <c r="K12" i="1"/>
  <c r="L12" i="1"/>
  <c r="M12" i="1" a="1"/>
  <c r="M12" i="1"/>
  <c r="J13" i="1"/>
  <c r="K13" i="1"/>
  <c r="L13" i="1"/>
  <c r="M13" i="1" a="1"/>
  <c r="M13" i="1"/>
  <c r="J14" i="1"/>
  <c r="K14" i="1"/>
  <c r="L14" i="1"/>
  <c r="M14" i="1" a="1"/>
  <c r="M14" i="1"/>
  <c r="J15" i="1"/>
  <c r="K15" i="1"/>
  <c r="L15" i="1"/>
  <c r="M15" i="1" a="1"/>
  <c r="M15" i="1"/>
  <c r="J16" i="1"/>
  <c r="K16" i="1"/>
  <c r="L16" i="1"/>
  <c r="M16" i="1" a="1"/>
  <c r="M16" i="1"/>
  <c r="J17" i="1"/>
  <c r="K17" i="1"/>
  <c r="L17" i="1"/>
  <c r="M17" i="1" a="1"/>
  <c r="M17" i="1"/>
  <c r="J18" i="1"/>
  <c r="K18" i="1"/>
  <c r="L18" i="1"/>
  <c r="M18" i="1" a="1"/>
  <c r="M18" i="1"/>
  <c r="J19" i="1"/>
  <c r="K19" i="1"/>
  <c r="L19" i="1"/>
  <c r="M19" i="1" a="1"/>
  <c r="M19" i="1"/>
  <c r="J20" i="1"/>
  <c r="K20" i="1"/>
  <c r="L20" i="1"/>
  <c r="M20" i="1" a="1"/>
  <c r="M20" i="1"/>
  <c r="J21" i="1"/>
  <c r="K21" i="1"/>
  <c r="L21" i="1"/>
  <c r="M21" i="1" a="1"/>
  <c r="M21" i="1"/>
  <c r="J22" i="1"/>
  <c r="K22" i="1"/>
  <c r="L22" i="1"/>
  <c r="M22" i="1" a="1"/>
  <c r="M22" i="1"/>
  <c r="J23" i="1"/>
  <c r="K23" i="1"/>
  <c r="L23" i="1"/>
  <c r="M23" i="1" a="1"/>
  <c r="M23" i="1"/>
  <c r="J24" i="1"/>
  <c r="K24" i="1"/>
  <c r="L24" i="1"/>
  <c r="M24" i="1" a="1"/>
  <c r="M24" i="1"/>
  <c r="J25" i="1"/>
  <c r="K25" i="1"/>
  <c r="L25" i="1"/>
  <c r="M25" i="1" a="1"/>
  <c r="M25" i="1"/>
  <c r="J26" i="1"/>
  <c r="K26" i="1"/>
  <c r="L26" i="1"/>
  <c r="M26" i="1" a="1"/>
  <c r="M26" i="1"/>
  <c r="J27" i="1"/>
  <c r="K27" i="1"/>
  <c r="L27" i="1"/>
  <c r="M27" i="1" a="1"/>
  <c r="M27" i="1"/>
  <c r="J28" i="1"/>
  <c r="K28" i="1"/>
  <c r="L28" i="1"/>
  <c r="M28" i="1" a="1"/>
  <c r="M28" i="1"/>
  <c r="J29" i="1"/>
  <c r="K29" i="1"/>
  <c r="L29" i="1"/>
  <c r="M29" i="1" a="1"/>
  <c r="M29" i="1"/>
  <c r="J30" i="1"/>
  <c r="K30" i="1"/>
  <c r="L30" i="1"/>
  <c r="M30" i="1" a="1"/>
  <c r="M30" i="1"/>
  <c r="J31" i="1"/>
  <c r="K31" i="1"/>
  <c r="L31" i="1"/>
  <c r="M31" i="1" a="1"/>
  <c r="M31" i="1"/>
  <c r="J32" i="1"/>
  <c r="K32" i="1"/>
  <c r="L32" i="1"/>
  <c r="M32" i="1" a="1"/>
  <c r="M32" i="1"/>
  <c r="J33" i="1"/>
  <c r="K33" i="1"/>
  <c r="L33" i="1"/>
  <c r="M33" i="1" a="1"/>
  <c r="M33" i="1"/>
  <c r="J34" i="1"/>
  <c r="K34" i="1"/>
  <c r="L34" i="1"/>
  <c r="M34" i="1" a="1"/>
  <c r="M34" i="1"/>
  <c r="J35" i="1"/>
  <c r="K35" i="1"/>
  <c r="L35" i="1"/>
  <c r="M35" i="1" a="1"/>
  <c r="M35" i="1"/>
  <c r="J36" i="1"/>
  <c r="K36" i="1"/>
  <c r="L36" i="1"/>
  <c r="M36" i="1" a="1"/>
  <c r="M36" i="1"/>
  <c r="J37" i="1"/>
  <c r="K37" i="1"/>
  <c r="L37" i="1"/>
  <c r="M37" i="1" a="1"/>
  <c r="M37" i="1"/>
  <c r="J38" i="1"/>
  <c r="K38" i="1"/>
  <c r="L38" i="1"/>
  <c r="M38" i="1" a="1"/>
  <c r="M38" i="1"/>
  <c r="J39" i="1"/>
  <c r="K39" i="1"/>
  <c r="L39" i="1"/>
  <c r="M39" i="1" a="1"/>
  <c r="M39" i="1"/>
  <c r="J40" i="1"/>
  <c r="K40" i="1"/>
  <c r="L40" i="1"/>
  <c r="M40" i="1" a="1"/>
  <c r="M40" i="1"/>
  <c r="J41" i="1"/>
  <c r="K41" i="1"/>
  <c r="L41" i="1"/>
  <c r="M41" i="1" a="1"/>
  <c r="M41" i="1"/>
  <c r="J42" i="1"/>
  <c r="K42" i="1"/>
  <c r="L42" i="1"/>
  <c r="M42" i="1" a="1"/>
  <c r="M42" i="1"/>
  <c r="J43" i="1"/>
  <c r="K43" i="1"/>
  <c r="L43" i="1"/>
  <c r="M43" i="1" a="1"/>
  <c r="M43" i="1"/>
  <c r="J44" i="1"/>
  <c r="K44" i="1"/>
  <c r="L44" i="1"/>
  <c r="M44" i="1" a="1"/>
  <c r="M44" i="1"/>
  <c r="J45" i="1"/>
  <c r="K45" i="1"/>
  <c r="L45" i="1"/>
  <c r="M45" i="1" a="1"/>
  <c r="M45" i="1"/>
  <c r="J46" i="1"/>
  <c r="K46" i="1"/>
  <c r="L46" i="1"/>
  <c r="M46" i="1" a="1"/>
  <c r="M46" i="1"/>
  <c r="J47" i="1"/>
  <c r="K47" i="1"/>
  <c r="L47" i="1"/>
  <c r="M47" i="1" a="1"/>
  <c r="M47" i="1"/>
  <c r="J48" i="1"/>
  <c r="K48" i="1"/>
  <c r="L48" i="1"/>
  <c r="M48" i="1" a="1"/>
  <c r="M48" i="1"/>
  <c r="J49" i="1"/>
  <c r="K49" i="1"/>
  <c r="L49" i="1"/>
  <c r="M49" i="1" a="1"/>
  <c r="M49" i="1"/>
  <c r="J50" i="1"/>
  <c r="K50" i="1"/>
  <c r="L50" i="1"/>
  <c r="M50" i="1" a="1"/>
  <c r="M50" i="1"/>
  <c r="J51" i="1"/>
  <c r="K51" i="1"/>
  <c r="L51" i="1"/>
  <c r="M51" i="1" a="1"/>
  <c r="M51" i="1"/>
  <c r="J52" i="1"/>
  <c r="K52" i="1"/>
  <c r="L52" i="1"/>
  <c r="M52" i="1" a="1"/>
  <c r="M52" i="1"/>
  <c r="J53" i="1"/>
  <c r="K53" i="1"/>
  <c r="L53" i="1"/>
  <c r="M53" i="1" a="1"/>
  <c r="M53" i="1"/>
  <c r="J54" i="1"/>
  <c r="K54" i="1"/>
  <c r="L54" i="1"/>
  <c r="M54" i="1" a="1"/>
  <c r="M54" i="1"/>
  <c r="J55" i="1"/>
  <c r="K55" i="1"/>
  <c r="L55" i="1"/>
  <c r="M55" i="1" a="1"/>
  <c r="M55" i="1"/>
  <c r="J56" i="1"/>
  <c r="K56" i="1"/>
  <c r="L56" i="1"/>
  <c r="M56" i="1" a="1"/>
  <c r="M56" i="1"/>
  <c r="J57" i="1"/>
  <c r="K57" i="1"/>
  <c r="L57" i="1"/>
  <c r="M57" i="1" a="1"/>
  <c r="M57" i="1"/>
  <c r="J58" i="1"/>
  <c r="K58" i="1"/>
  <c r="L58" i="1"/>
  <c r="M58" i="1" a="1"/>
  <c r="M58" i="1"/>
  <c r="J59" i="1"/>
  <c r="K59" i="1"/>
  <c r="L59" i="1"/>
  <c r="M59" i="1" a="1"/>
  <c r="M59" i="1"/>
  <c r="J60" i="1"/>
  <c r="K60" i="1"/>
  <c r="L60" i="1"/>
  <c r="M60" i="1" a="1"/>
  <c r="M60" i="1"/>
  <c r="J61" i="1"/>
  <c r="K61" i="1"/>
  <c r="L61" i="1"/>
  <c r="M61" i="1" a="1"/>
  <c r="M61" i="1"/>
  <c r="J62" i="1"/>
  <c r="K62" i="1"/>
  <c r="L62" i="1"/>
  <c r="M62" i="1" a="1"/>
  <c r="M62" i="1"/>
  <c r="J63" i="1"/>
  <c r="K63" i="1"/>
  <c r="L63" i="1"/>
  <c r="M63" i="1" a="1"/>
  <c r="M63" i="1"/>
  <c r="J64" i="1"/>
  <c r="K64" i="1"/>
  <c r="L64" i="1"/>
  <c r="M64" i="1" a="1"/>
  <c r="M64" i="1"/>
  <c r="J65" i="1"/>
  <c r="K65" i="1"/>
  <c r="L65" i="1"/>
  <c r="M65" i="1" a="1"/>
  <c r="M65" i="1"/>
  <c r="J66" i="1"/>
  <c r="K66" i="1"/>
  <c r="L66" i="1"/>
  <c r="M66" i="1" a="1"/>
  <c r="M66" i="1"/>
  <c r="J67" i="1"/>
  <c r="K67" i="1"/>
  <c r="L67" i="1"/>
  <c r="M67" i="1" a="1"/>
  <c r="M67" i="1"/>
  <c r="J68" i="1"/>
  <c r="K68" i="1"/>
  <c r="L68" i="1"/>
  <c r="M68" i="1" a="1"/>
  <c r="M68" i="1"/>
  <c r="J69" i="1"/>
  <c r="K69" i="1"/>
  <c r="L69" i="1"/>
  <c r="M69" i="1" a="1"/>
  <c r="M69" i="1"/>
  <c r="J70" i="1"/>
  <c r="K70" i="1"/>
  <c r="L70" i="1"/>
  <c r="M70" i="1" a="1"/>
  <c r="M70" i="1"/>
  <c r="J71" i="1"/>
  <c r="K71" i="1"/>
  <c r="L71" i="1"/>
  <c r="M71" i="1" a="1"/>
  <c r="M71" i="1"/>
  <c r="J72" i="1"/>
  <c r="K72" i="1"/>
  <c r="L72" i="1"/>
  <c r="M72" i="1" a="1"/>
  <c r="M72" i="1"/>
  <c r="J73" i="1"/>
  <c r="K73" i="1"/>
  <c r="L73" i="1"/>
  <c r="M73" i="1" a="1"/>
  <c r="M73" i="1"/>
  <c r="J74" i="1"/>
  <c r="K74" i="1"/>
  <c r="L74" i="1"/>
  <c r="M74" i="1" a="1"/>
  <c r="M74" i="1"/>
  <c r="J75" i="1"/>
  <c r="K75" i="1"/>
  <c r="L75" i="1"/>
  <c r="M75" i="1" a="1"/>
  <c r="M75" i="1"/>
  <c r="J76" i="1"/>
  <c r="K76" i="1"/>
  <c r="L76" i="1"/>
  <c r="M76" i="1" a="1"/>
  <c r="M76" i="1"/>
  <c r="J77" i="1"/>
  <c r="K77" i="1"/>
  <c r="L77" i="1"/>
  <c r="M77" i="1" a="1"/>
  <c r="M77" i="1"/>
  <c r="J78" i="1"/>
  <c r="K78" i="1"/>
  <c r="L78" i="1"/>
  <c r="M78" i="1" a="1"/>
  <c r="M78" i="1"/>
  <c r="J79" i="1"/>
  <c r="K79" i="1"/>
  <c r="L79" i="1"/>
  <c r="M79" i="1" a="1"/>
  <c r="M79" i="1"/>
  <c r="J80" i="1"/>
  <c r="K80" i="1"/>
  <c r="L80" i="1"/>
  <c r="M80" i="1" a="1"/>
  <c r="M80" i="1"/>
  <c r="J81" i="1"/>
  <c r="K81" i="1"/>
  <c r="L81" i="1"/>
  <c r="M81" i="1" a="1"/>
  <c r="M81" i="1"/>
  <c r="J82" i="1"/>
  <c r="K82" i="1"/>
  <c r="L82" i="1"/>
  <c r="M82" i="1" a="1"/>
  <c r="M82" i="1"/>
  <c r="J83" i="1"/>
  <c r="K83" i="1"/>
  <c r="L83" i="1"/>
  <c r="M83" i="1" a="1"/>
  <c r="M83" i="1"/>
  <c r="J84" i="1"/>
  <c r="K84" i="1"/>
  <c r="L84" i="1"/>
  <c r="M84" i="1" a="1"/>
  <c r="M84" i="1"/>
  <c r="J85" i="1"/>
  <c r="K85" i="1"/>
  <c r="L85" i="1"/>
  <c r="M85" i="1" a="1"/>
  <c r="M85" i="1"/>
  <c r="J86" i="1"/>
  <c r="K86" i="1"/>
  <c r="L86" i="1"/>
  <c r="M86" i="1" a="1"/>
  <c r="M86" i="1"/>
  <c r="J87" i="1"/>
  <c r="K87" i="1"/>
  <c r="L87" i="1"/>
  <c r="M87" i="1" a="1"/>
  <c r="M87" i="1"/>
  <c r="J88" i="1"/>
  <c r="K88" i="1"/>
  <c r="L88" i="1"/>
  <c r="M88" i="1" a="1"/>
  <c r="M88" i="1"/>
  <c r="J89" i="1"/>
  <c r="K89" i="1"/>
  <c r="L89" i="1"/>
  <c r="M89" i="1" a="1"/>
  <c r="M89" i="1"/>
  <c r="J90" i="1"/>
  <c r="K90" i="1"/>
  <c r="L90" i="1"/>
  <c r="M90" i="1" a="1"/>
  <c r="M90" i="1"/>
  <c r="J91" i="1"/>
  <c r="K91" i="1"/>
  <c r="L91" i="1"/>
  <c r="M91" i="1" a="1"/>
  <c r="M91" i="1"/>
  <c r="J92" i="1"/>
  <c r="K92" i="1"/>
  <c r="L92" i="1"/>
  <c r="M92" i="1" a="1"/>
  <c r="M92" i="1"/>
  <c r="J93" i="1"/>
  <c r="K93" i="1"/>
  <c r="L93" i="1"/>
  <c r="M93" i="1" a="1"/>
  <c r="M93" i="1"/>
  <c r="J94" i="1"/>
  <c r="K94" i="1"/>
  <c r="L94" i="1"/>
  <c r="M94" i="1" a="1"/>
  <c r="M94" i="1"/>
  <c r="J95" i="1"/>
  <c r="K95" i="1"/>
  <c r="L95" i="1"/>
  <c r="M95" i="1" a="1"/>
  <c r="M95" i="1"/>
  <c r="J96" i="1"/>
  <c r="K96" i="1"/>
  <c r="L96" i="1"/>
  <c r="M96" i="1" a="1"/>
  <c r="M96" i="1"/>
  <c r="J97" i="1"/>
  <c r="K97" i="1"/>
  <c r="L97" i="1"/>
  <c r="M97" i="1" a="1"/>
  <c r="M97" i="1"/>
  <c r="J98" i="1"/>
  <c r="K98" i="1"/>
  <c r="L98" i="1"/>
  <c r="M98" i="1" a="1"/>
  <c r="M98" i="1"/>
  <c r="J99" i="1"/>
  <c r="K99" i="1"/>
  <c r="L99" i="1"/>
  <c r="M99" i="1" a="1"/>
  <c r="M99" i="1"/>
  <c r="J100" i="1"/>
  <c r="K100" i="1"/>
  <c r="L100" i="1"/>
  <c r="M100" i="1" a="1"/>
  <c r="M100" i="1"/>
  <c r="J101" i="1"/>
  <c r="K101" i="1"/>
  <c r="L101" i="1"/>
  <c r="M101" i="1" a="1"/>
  <c r="M101" i="1"/>
  <c r="J102" i="1"/>
  <c r="K102" i="1"/>
  <c r="L102" i="1"/>
  <c r="M102" i="1" a="1"/>
  <c r="M102" i="1"/>
  <c r="J103" i="1"/>
  <c r="K103" i="1"/>
  <c r="L103" i="1"/>
  <c r="M103" i="1" a="1"/>
  <c r="M103" i="1"/>
  <c r="J104" i="1"/>
  <c r="K104" i="1"/>
  <c r="L104" i="1"/>
  <c r="M104" i="1" a="1"/>
  <c r="M104" i="1"/>
  <c r="J105" i="1"/>
  <c r="K105" i="1"/>
  <c r="L105" i="1"/>
  <c r="M105" i="1" a="1"/>
  <c r="M105" i="1"/>
  <c r="J106" i="1"/>
  <c r="K106" i="1"/>
  <c r="L106" i="1"/>
  <c r="M106" i="1" a="1"/>
  <c r="M106" i="1"/>
  <c r="J107" i="1"/>
  <c r="K107" i="1"/>
  <c r="L107" i="1"/>
  <c r="M107" i="1" a="1"/>
  <c r="M107" i="1"/>
  <c r="J108" i="1"/>
  <c r="K108" i="1"/>
  <c r="L108" i="1"/>
  <c r="M108" i="1" a="1"/>
  <c r="M108" i="1"/>
  <c r="J109" i="1"/>
  <c r="K109" i="1"/>
  <c r="L109" i="1"/>
  <c r="M109" i="1" a="1"/>
  <c r="M109" i="1"/>
  <c r="J110" i="1"/>
  <c r="K110" i="1"/>
  <c r="L110" i="1"/>
  <c r="M110" i="1" a="1"/>
  <c r="M110" i="1"/>
  <c r="J111" i="1"/>
  <c r="K111" i="1"/>
  <c r="L111" i="1"/>
  <c r="M111" i="1" a="1"/>
  <c r="M111" i="1"/>
  <c r="J112" i="1"/>
  <c r="K112" i="1"/>
  <c r="L112" i="1"/>
  <c r="M112" i="1" a="1"/>
  <c r="M112" i="1"/>
  <c r="J113" i="1"/>
  <c r="K113" i="1"/>
  <c r="L113" i="1"/>
  <c r="M113" i="1" a="1"/>
  <c r="M113" i="1"/>
  <c r="J114" i="1"/>
  <c r="K114" i="1"/>
  <c r="L114" i="1"/>
  <c r="M114" i="1" a="1"/>
  <c r="M114" i="1"/>
  <c r="J115" i="1"/>
  <c r="K115" i="1"/>
  <c r="L115" i="1"/>
  <c r="M115" i="1" a="1"/>
  <c r="M115" i="1"/>
  <c r="J116" i="1"/>
  <c r="K116" i="1"/>
  <c r="L116" i="1"/>
  <c r="M116" i="1" a="1"/>
  <c r="M116" i="1"/>
  <c r="J117" i="1"/>
  <c r="K117" i="1"/>
  <c r="L117" i="1"/>
  <c r="M117" i="1" a="1"/>
  <c r="M117" i="1"/>
  <c r="J118" i="1"/>
  <c r="K118" i="1"/>
  <c r="L118" i="1"/>
  <c r="M118" i="1" a="1"/>
  <c r="M118" i="1"/>
  <c r="J119" i="1"/>
  <c r="K119" i="1"/>
  <c r="L119" i="1"/>
  <c r="M119" i="1" a="1"/>
  <c r="M119" i="1"/>
  <c r="J120" i="1"/>
  <c r="K120" i="1"/>
  <c r="L120" i="1"/>
  <c r="M120" i="1" a="1"/>
  <c r="M120" i="1"/>
  <c r="J121" i="1"/>
  <c r="K121" i="1"/>
  <c r="L121" i="1"/>
  <c r="M121" i="1" a="1"/>
  <c r="M121" i="1"/>
  <c r="J122" i="1"/>
  <c r="K122" i="1"/>
  <c r="L122" i="1"/>
  <c r="M122" i="1" a="1"/>
  <c r="M122" i="1"/>
  <c r="J123" i="1"/>
  <c r="K123" i="1"/>
  <c r="L123" i="1"/>
  <c r="M123" i="1" a="1"/>
  <c r="M123" i="1"/>
  <c r="J124" i="1"/>
  <c r="K124" i="1"/>
  <c r="L124" i="1"/>
  <c r="M124" i="1" a="1"/>
  <c r="M124" i="1"/>
  <c r="J125" i="1"/>
  <c r="K125" i="1"/>
  <c r="L125" i="1"/>
  <c r="M125" i="1" a="1"/>
  <c r="M125" i="1"/>
  <c r="J126" i="1"/>
  <c r="K126" i="1"/>
  <c r="L126" i="1"/>
  <c r="M126" i="1" a="1"/>
  <c r="M126" i="1"/>
  <c r="J127" i="1"/>
  <c r="K127" i="1"/>
  <c r="L127" i="1"/>
  <c r="M127" i="1" a="1"/>
  <c r="M127" i="1"/>
  <c r="J128" i="1"/>
  <c r="K128" i="1"/>
  <c r="L128" i="1"/>
  <c r="M128" i="1" a="1"/>
  <c r="M128" i="1"/>
  <c r="J129" i="1"/>
  <c r="K129" i="1"/>
  <c r="L129" i="1"/>
  <c r="M129" i="1" a="1"/>
  <c r="M129" i="1"/>
  <c r="J130" i="1"/>
  <c r="K130" i="1"/>
  <c r="L130" i="1"/>
  <c r="M130" i="1" a="1"/>
  <c r="M130" i="1"/>
  <c r="J131" i="1"/>
  <c r="K131" i="1"/>
  <c r="L131" i="1"/>
  <c r="M131" i="1" a="1"/>
  <c r="M131" i="1"/>
  <c r="J132" i="1"/>
  <c r="K132" i="1"/>
  <c r="L132" i="1"/>
  <c r="M132" i="1" a="1"/>
  <c r="M132" i="1"/>
  <c r="J133" i="1"/>
  <c r="K133" i="1"/>
  <c r="L133" i="1"/>
  <c r="M133" i="1" a="1"/>
  <c r="M133" i="1"/>
  <c r="J134" i="1"/>
  <c r="K134" i="1"/>
  <c r="L134" i="1"/>
  <c r="M134" i="1" a="1"/>
  <c r="M134" i="1"/>
  <c r="J135" i="1"/>
  <c r="K135" i="1"/>
  <c r="L135" i="1"/>
  <c r="M135" i="1" a="1"/>
  <c r="M135" i="1"/>
  <c r="J136" i="1"/>
  <c r="K136" i="1"/>
  <c r="L136" i="1"/>
  <c r="M136" i="1" a="1"/>
  <c r="M136" i="1"/>
  <c r="J137" i="1"/>
  <c r="K137" i="1"/>
  <c r="L137" i="1"/>
  <c r="M137" i="1" a="1"/>
  <c r="M137" i="1"/>
  <c r="J138" i="1"/>
  <c r="K138" i="1"/>
  <c r="L138" i="1"/>
  <c r="M138" i="1" a="1"/>
  <c r="M138" i="1"/>
  <c r="J139" i="1"/>
  <c r="K139" i="1"/>
  <c r="L139" i="1"/>
  <c r="M139" i="1" a="1"/>
  <c r="M139" i="1"/>
  <c r="J140" i="1"/>
  <c r="K140" i="1"/>
  <c r="L140" i="1"/>
  <c r="M140" i="1" a="1"/>
  <c r="M140" i="1"/>
  <c r="J141" i="1"/>
  <c r="K141" i="1"/>
  <c r="L141" i="1"/>
  <c r="M141" i="1" a="1"/>
  <c r="M141" i="1"/>
  <c r="J142" i="1"/>
  <c r="K142" i="1"/>
  <c r="L142" i="1"/>
  <c r="M142" i="1" a="1"/>
  <c r="M142" i="1"/>
  <c r="J143" i="1"/>
  <c r="K143" i="1"/>
  <c r="L143" i="1"/>
  <c r="M143" i="1" a="1"/>
  <c r="M143" i="1"/>
  <c r="J144" i="1"/>
  <c r="K144" i="1"/>
  <c r="L144" i="1"/>
  <c r="M144" i="1" a="1"/>
  <c r="M144" i="1"/>
  <c r="J145" i="1"/>
  <c r="K145" i="1"/>
  <c r="L145" i="1"/>
  <c r="M145" i="1" a="1"/>
  <c r="M145" i="1"/>
  <c r="J146" i="1"/>
  <c r="K146" i="1"/>
  <c r="L146" i="1"/>
  <c r="M146" i="1" a="1"/>
  <c r="M146" i="1"/>
  <c r="J147" i="1"/>
  <c r="K147" i="1"/>
  <c r="L147" i="1"/>
  <c r="M147" i="1" a="1"/>
  <c r="M147" i="1"/>
  <c r="J148" i="1"/>
  <c r="K148" i="1"/>
  <c r="L148" i="1"/>
  <c r="M148" i="1" a="1"/>
  <c r="M148" i="1"/>
  <c r="J149" i="1"/>
  <c r="K149" i="1"/>
  <c r="L149" i="1"/>
  <c r="M149" i="1" a="1"/>
  <c r="M149" i="1"/>
  <c r="J150" i="1"/>
  <c r="K150" i="1"/>
  <c r="L150" i="1"/>
  <c r="M150" i="1" a="1"/>
  <c r="M150" i="1"/>
  <c r="J151" i="1"/>
  <c r="K151" i="1"/>
  <c r="L151" i="1"/>
  <c r="M151" i="1" a="1"/>
  <c r="M151" i="1"/>
  <c r="J152" i="1"/>
  <c r="K152" i="1"/>
  <c r="L152" i="1"/>
  <c r="M152" i="1" a="1"/>
  <c r="M152" i="1"/>
  <c r="J153" i="1"/>
  <c r="K153" i="1"/>
  <c r="L153" i="1"/>
  <c r="M153" i="1" a="1"/>
  <c r="M153" i="1"/>
  <c r="J154" i="1"/>
  <c r="K154" i="1"/>
  <c r="L154" i="1"/>
  <c r="M154" i="1" a="1"/>
  <c r="M154" i="1"/>
  <c r="J155" i="1"/>
  <c r="K155" i="1"/>
  <c r="L155" i="1"/>
  <c r="M155" i="1" a="1"/>
  <c r="M155" i="1"/>
  <c r="J156" i="1"/>
  <c r="K156" i="1"/>
  <c r="L156" i="1"/>
  <c r="M156" i="1" a="1"/>
  <c r="M156" i="1"/>
  <c r="J157" i="1"/>
  <c r="K157" i="1"/>
  <c r="L157" i="1"/>
  <c r="M157" i="1" a="1"/>
  <c r="M157" i="1"/>
  <c r="J158" i="1"/>
  <c r="K158" i="1"/>
  <c r="L158" i="1"/>
  <c r="M158" i="1" a="1"/>
  <c r="M158" i="1"/>
  <c r="J159" i="1"/>
  <c r="K159" i="1"/>
  <c r="L159" i="1"/>
  <c r="M159" i="1" a="1"/>
  <c r="M159" i="1"/>
  <c r="J160" i="1"/>
  <c r="K160" i="1"/>
  <c r="L160" i="1"/>
  <c r="M160" i="1" a="1"/>
  <c r="M160" i="1"/>
  <c r="J161" i="1"/>
  <c r="K161" i="1"/>
  <c r="L161" i="1"/>
  <c r="M161" i="1" a="1"/>
  <c r="M161" i="1"/>
  <c r="J162" i="1"/>
  <c r="K162" i="1"/>
  <c r="L162" i="1"/>
  <c r="M162" i="1" a="1"/>
  <c r="M162" i="1"/>
  <c r="J163" i="1"/>
  <c r="K163" i="1"/>
  <c r="L163" i="1"/>
  <c r="M163" i="1" a="1"/>
  <c r="M163" i="1"/>
  <c r="J164" i="1"/>
  <c r="K164" i="1"/>
  <c r="L164" i="1"/>
  <c r="M164" i="1" a="1"/>
  <c r="M164" i="1"/>
  <c r="J165" i="1"/>
  <c r="K165" i="1"/>
  <c r="L165" i="1"/>
  <c r="M165" i="1" a="1"/>
  <c r="M165" i="1"/>
  <c r="J166" i="1"/>
  <c r="K166" i="1"/>
  <c r="L166" i="1"/>
  <c r="M166" i="1" a="1"/>
  <c r="M166" i="1"/>
  <c r="J167" i="1"/>
  <c r="K167" i="1"/>
  <c r="L167" i="1"/>
  <c r="M167" i="1" a="1"/>
  <c r="M167" i="1"/>
  <c r="J168" i="1"/>
  <c r="K168" i="1"/>
  <c r="L168" i="1"/>
  <c r="M168" i="1" a="1"/>
  <c r="M168" i="1"/>
  <c r="J169" i="1"/>
  <c r="K169" i="1"/>
  <c r="L169" i="1"/>
  <c r="M169" i="1" a="1"/>
  <c r="M169" i="1"/>
  <c r="J170" i="1"/>
  <c r="K170" i="1"/>
  <c r="L170" i="1"/>
  <c r="M170" i="1" a="1"/>
  <c r="M170" i="1"/>
  <c r="J171" i="1"/>
  <c r="K171" i="1"/>
  <c r="L171" i="1"/>
  <c r="M171" i="1" a="1"/>
  <c r="M171" i="1"/>
  <c r="J172" i="1"/>
  <c r="K172" i="1"/>
  <c r="L172" i="1"/>
  <c r="M172" i="1" a="1"/>
  <c r="M172" i="1"/>
  <c r="J173" i="1"/>
  <c r="K173" i="1"/>
  <c r="L173" i="1"/>
  <c r="M173" i="1" a="1"/>
  <c r="M173" i="1"/>
  <c r="J174" i="1"/>
  <c r="K174" i="1"/>
  <c r="L174" i="1"/>
  <c r="M174" i="1" a="1"/>
  <c r="M174" i="1"/>
  <c r="J175" i="1"/>
  <c r="K175" i="1"/>
  <c r="L175" i="1"/>
  <c r="M175" i="1" a="1"/>
  <c r="M175" i="1"/>
  <c r="J176" i="1"/>
  <c r="K176" i="1"/>
  <c r="L176" i="1"/>
  <c r="M176" i="1" a="1"/>
  <c r="M176" i="1"/>
  <c r="J177" i="1"/>
  <c r="K177" i="1"/>
  <c r="L177" i="1"/>
  <c r="M177" i="1" a="1"/>
  <c r="M177" i="1"/>
  <c r="J178" i="1"/>
  <c r="K178" i="1"/>
  <c r="L178" i="1"/>
  <c r="M178" i="1" a="1"/>
  <c r="M178" i="1"/>
  <c r="J179" i="1"/>
  <c r="K179" i="1"/>
  <c r="L179" i="1"/>
  <c r="M179" i="1" a="1"/>
  <c r="M179" i="1"/>
  <c r="J180" i="1"/>
  <c r="K180" i="1"/>
  <c r="L180" i="1"/>
  <c r="M180" i="1" a="1"/>
  <c r="M180" i="1"/>
  <c r="J181" i="1"/>
  <c r="K181" i="1"/>
  <c r="L181" i="1"/>
  <c r="M181" i="1" a="1"/>
  <c r="M181" i="1"/>
  <c r="J182" i="1"/>
  <c r="K182" i="1"/>
  <c r="L182" i="1"/>
  <c r="M182" i="1" a="1"/>
  <c r="M182" i="1"/>
  <c r="J183" i="1"/>
  <c r="K183" i="1"/>
  <c r="L183" i="1"/>
  <c r="M183" i="1" a="1"/>
  <c r="M183" i="1"/>
  <c r="J184" i="1"/>
  <c r="K184" i="1"/>
  <c r="L184" i="1"/>
  <c r="M184" i="1" a="1"/>
  <c r="M184" i="1"/>
  <c r="J185" i="1"/>
  <c r="K185" i="1"/>
  <c r="L185" i="1"/>
  <c r="M185" i="1" a="1"/>
  <c r="M185" i="1"/>
  <c r="J186" i="1"/>
  <c r="K186" i="1"/>
  <c r="L186" i="1"/>
  <c r="M186" i="1" a="1"/>
  <c r="M186" i="1"/>
  <c r="J187" i="1"/>
  <c r="K187" i="1"/>
  <c r="L187" i="1"/>
  <c r="M187" i="1" a="1"/>
  <c r="M187" i="1"/>
  <c r="J188" i="1"/>
  <c r="K188" i="1"/>
  <c r="L188" i="1"/>
  <c r="M188" i="1" a="1"/>
  <c r="M188" i="1"/>
  <c r="J189" i="1"/>
  <c r="K189" i="1"/>
  <c r="L189" i="1"/>
  <c r="M189" i="1" a="1"/>
  <c r="M189" i="1"/>
  <c r="J190" i="1"/>
  <c r="K190" i="1"/>
  <c r="L190" i="1"/>
  <c r="M190" i="1" a="1"/>
  <c r="M190" i="1"/>
  <c r="J191" i="1"/>
  <c r="K191" i="1"/>
  <c r="L191" i="1"/>
  <c r="M191" i="1" a="1"/>
  <c r="M191" i="1"/>
  <c r="J192" i="1"/>
  <c r="K192" i="1"/>
  <c r="L192" i="1"/>
  <c r="M192" i="1" a="1"/>
  <c r="M192" i="1"/>
  <c r="J193" i="1"/>
  <c r="K193" i="1"/>
  <c r="L193" i="1"/>
  <c r="M193" i="1" a="1"/>
  <c r="M193" i="1"/>
  <c r="J194" i="1"/>
  <c r="K194" i="1"/>
  <c r="L194" i="1"/>
  <c r="M194" i="1" a="1"/>
  <c r="M194" i="1"/>
  <c r="J195" i="1"/>
  <c r="K195" i="1"/>
  <c r="L195" i="1"/>
  <c r="M195" i="1" a="1"/>
  <c r="M195" i="1"/>
  <c r="J196" i="1"/>
  <c r="K196" i="1"/>
  <c r="L196" i="1"/>
  <c r="M196" i="1" a="1"/>
  <c r="M196" i="1"/>
  <c r="J197" i="1"/>
  <c r="K197" i="1"/>
  <c r="L197" i="1"/>
  <c r="M197" i="1" a="1"/>
  <c r="M197" i="1"/>
  <c r="J198" i="1"/>
  <c r="K198" i="1"/>
  <c r="L198" i="1"/>
  <c r="M198" i="1" a="1"/>
  <c r="M198" i="1"/>
  <c r="J199" i="1"/>
  <c r="K199" i="1"/>
  <c r="L199" i="1"/>
  <c r="M199" i="1" a="1"/>
  <c r="M199" i="1"/>
  <c r="J200" i="1"/>
  <c r="K200" i="1"/>
  <c r="L200" i="1"/>
  <c r="M200" i="1" a="1"/>
  <c r="M200" i="1"/>
  <c r="J201" i="1"/>
  <c r="K201" i="1"/>
  <c r="L201" i="1"/>
  <c r="M201" i="1" a="1"/>
  <c r="M2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<sst xmlns="http://schemas.openxmlformats.org/spreadsheetml/2006/main" count="1133" uniqueCount="54">
  <si>
    <t>Employee ID</t>
  </si>
  <si>
    <t>Name</t>
  </si>
  <si>
    <t>Department</t>
  </si>
  <si>
    <t>Marks</t>
  </si>
  <si>
    <t>Attendance</t>
  </si>
  <si>
    <t>Salary</t>
  </si>
  <si>
    <t>Experience</t>
  </si>
  <si>
    <t>City</t>
  </si>
  <si>
    <t>Email</t>
  </si>
  <si>
    <t>Ravi</t>
  </si>
  <si>
    <t>HR</t>
  </si>
  <si>
    <t>Hyderabad</t>
  </si>
  <si>
    <t>Pooja</t>
  </si>
  <si>
    <t>Sales</t>
  </si>
  <si>
    <t>Bangalore</t>
  </si>
  <si>
    <t>Meena</t>
  </si>
  <si>
    <t>Data Science</t>
  </si>
  <si>
    <t>Sneha</t>
  </si>
  <si>
    <t>Finance</t>
  </si>
  <si>
    <t>Chennai</t>
  </si>
  <si>
    <t>John</t>
  </si>
  <si>
    <t>Mumbai</t>
  </si>
  <si>
    <t>Rahul</t>
  </si>
  <si>
    <t>Delhi</t>
  </si>
  <si>
    <t>Simran</t>
  </si>
  <si>
    <t>Marketing</t>
  </si>
  <si>
    <t>Darshan</t>
  </si>
  <si>
    <t>Arjun</t>
  </si>
  <si>
    <t>Kiran</t>
  </si>
  <si>
    <t>Anu</t>
  </si>
  <si>
    <t/>
  </si>
  <si>
    <t>ravi@gmail.com</t>
  </si>
  <si>
    <t>pooja@gmail.com</t>
  </si>
  <si>
    <t>meena@gmail.com</t>
  </si>
  <si>
    <t>sneha@gmail.com</t>
  </si>
  <si>
    <t>john@gmail.com</t>
  </si>
  <si>
    <t>rahul@gmail.com</t>
  </si>
  <si>
    <t>simran@gmail.com</t>
  </si>
  <si>
    <t>darshan@gmail.com</t>
  </si>
  <si>
    <t>arjun@gmail.com</t>
  </si>
  <si>
    <t>kiran@gmail.com</t>
  </si>
  <si>
    <t>anu@gmail.com</t>
  </si>
  <si>
    <t>Status</t>
  </si>
  <si>
    <t>Eligibility</t>
  </si>
  <si>
    <t>Risk/Normal</t>
  </si>
  <si>
    <t>Grade</t>
  </si>
  <si>
    <t>Row Labels</t>
  </si>
  <si>
    <t>Grand Total</t>
  </si>
  <si>
    <t>Average of Marks</t>
  </si>
  <si>
    <t>Missing</t>
  </si>
  <si>
    <t>Normal</t>
  </si>
  <si>
    <t>Risk</t>
  </si>
  <si>
    <t>Count of Employee ID</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</si>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</sst>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[excel_employee_project.xlsx]Dashboard!PivotTable6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Marks By Department</a:t>
            </a:r>
          </a:p>
        </c:rich>
      </c:tx>
      <c:layout>
        <c:manualLayout>
          <c:xMode val="edge"/>
          <c:yMode val="edge"/>
          <c:x val="0.20713438657426922"/>
          <c:y val="0.1521381355108389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Dashboard!$A$4:$A$9</c:f>
              <c:strCache>
                <c:ptCount val="5"/>
                <c:pt idx="0">
                  <c:v>Data Science</c:v>
                </c:pt>
                <c:pt idx="1">
                  <c:v>HR</c:v>
                </c:pt>
                <c:pt idx="2">
                  <c:v>Finance</c:v>
                </c:pt>
                <c:pt idx="3">
                  <c:v>Marketing</c:v>
                </c:pt>
                <c:pt idx="4">
                  <c:v>Sales</c:v>
                </c:pt>
              </c:strCache>
            </c:strRef>
          </c:cat>
          <c:val>
            <c:numRef>
              <c:f>Dashboard!$B$4:$B$9</c:f>
              <c:numCache>
                <c:formatCode>General</c:formatCode>
                <c:ptCount val="5"/>
                <c:pt idx="0">
                  <c:v>72.888888888888886</c:v>
                </c:pt>
                <c:pt idx="1">
                  <c:v>64.857142857142861</c:v>
                </c:pt>
                <c:pt idx="2">
                  <c:v>62.142857142857146</c:v>
                </c:pt>
                <c:pt idx="3">
                  <c:v>61.333333333333336</c:v>
                </c:pt>
                <c:pt idx="4">
                  <c:v>57</c:v>
                </c:pt>
              </c:numCache>
            </c:numRef>
          </c:val>
          <c:extLst>
            <c:ext xmlns:c16="http://schemas.microsoft.com/office/drawing/2014/chart" uri="{C3380CC4-5D6E-409C-BE32-E72D297353CC}">
              <c16:uniqueId val="{00000001-6DE3-4BB1-9565-CDFED5E4A511}"/>
            </c:ext>
          </c:extLst>
        </c:ser>
        <c:dLbls>
          <c:dLblPos val="outEnd"/>
          <c:showLegendKey val="0"/>
          <c:showVal val="1"/>
          <c:showCatName val="0"/>
          <c:showSerName val="0"/>
          <c:showPercent val="0"/>
          <c:showBubbleSize val="0"/>
        </c:dLbls>
        <c:gapWidth val="100"/>
        <c:axId val="1967853279"/>
        <c:axId val="1967856159"/>
      </c:barChart>
      <c:catAx>
        <c:axId val="19678532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7856159"/>
        <c:crosses val="autoZero"/>
        <c:auto val="1"/>
        <c:lblAlgn val="ctr"/>
        <c:lblOffset val="100"/>
        <c:noMultiLvlLbl val="0"/>
      </c:catAx>
      <c:valAx>
        <c:axId val="196785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6785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[excel_employee_project.xlsx]Dashboard!PivotTable7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Salary</a:t>
            </a:r>
            <a:r>
              <a:rPr lang="en-US" baseline="0"/>
              <a:t> By Depatment</a:t>
            </a:r>
            <a:endParaRPr lang="en-US"/>
          </a:p>
        </c:rich>
      </c:tx>
      <c:layout>
        <c:manualLayout>
          <c:xMode val="edge"/>
          <c:yMode val="edge"/>
          <c:x val="0.29779661115369432"/>
          <c:y val="0.1192256031287228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Dashboard!$F$3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Dashboard!$E$4:$E$9</c:f>
              <c:strCache>
                <c:ptCount val="5"/>
                <c:pt idx="0">
                  <c:v>Finance</c:v>
                </c:pt>
                <c:pt idx="1">
                  <c:v>Data Science</c:v>
                </c:pt>
                <c:pt idx="2">
                  <c:v>HR</c:v>
                </c:pt>
                <c:pt idx="3">
                  <c:v>Marketing</c:v>
                </c:pt>
                <c:pt idx="4">
                  <c:v>Sales</c:v>
                </c:pt>
              </c:strCache>
            </c:strRef>
          </c:cat>
          <c:val>
            <c:numRef>
              <c:f>Dashboard!$F$4:$F$9</c:f>
              <c:numCache>
                <c:formatCode>General</c:formatCode>
                <c:ptCount val="5"/>
                <c:pt idx="0">
                  <c:v>1046363</c:v>
                </c:pt>
                <c:pt idx="1">
                  <c:v>900720</c:v>
                </c:pt>
                <c:pt idx="2">
                  <c:v>884843</c:v>
                </c:pt>
                <c:pt idx="3">
                  <c:v>756575</c:v>
                </c:pt>
                <c:pt idx="4">
                  <c:v>629240</c:v>
                </c:pt>
              </c:numCache>
            </c:numRef>
          </c:val>
          <c:extLst>
            <c:ext xmlns:c16="http://schemas.microsoft.com/office/drawing/2014/chart" uri="{C3380CC4-5D6E-409C-BE32-E72D297353CC}">
              <c16:uniqueId val="{00000000-433A-40DB-8C93-6794459E8B02}"/>
            </c:ext>
          </c:extLst>
        </c:ser>
        <c:dLbls>
          <c:dLblPos val="outEnd"/>
          <c:showLegendKey val="0"/>
          <c:showVal val="1"/>
          <c:showCatName val="0"/>
          <c:showSerName val="0"/>
          <c:showPercent val="0"/>
          <c:showBubbleSize val="0"/>
        </c:dLbls>
        <c:gapWidth val="100"/>
        <c:axId val="1674705727"/>
        <c:axId val="1674706207"/>
      </c:barChart>
      <c:catAx>
        <c:axId val="1674705727"/>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4706207"/>
        <c:crosses val="autoZero"/>
        <c:auto val="1"/>
        <c:lblAlgn val="ctr"/>
        <c:lblOffset val="100"/>
        <c:noMultiLvlLbl val="0"/>
      </c:catAx>
      <c:valAx>
        <c:axId val="16747062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470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[excel_employee_project.xlsx]Dashboard!PivotTable9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City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Dashboard!$K$3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6DD-481B-B1C8-3C9069D687D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6DD-481B-B1C8-3C9069D687D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6DD-481B-B1C8-3C9069D687D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6DD-481B-B1C8-3C9069D687D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36DD-481B-B1C8-3C9069D687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Dashboard!$J$4:$J$9</c:f>
              <c:strCache>
                <c:ptCount val="5"/>
                <c:pt idx="0">
                  <c:v>Bangalore</c:v>
                </c:pt>
                <c:pt idx="1">
                  <c:v>Chennai</c:v>
                </c:pt>
                <c:pt idx="2">
                  <c:v>Delhi</c:v>
                </c:pt>
                <c:pt idx="3">
                  <c:v>Hyderabad</c:v>
                </c:pt>
                <c:pt idx="4">
                  <c:v>Mumbai</c:v>
                </c:pt>
              </c:strCache>
            </c:strRef>
          </c:cat>
          <c:val>
            <c:numRef>
              <c:f>Dashboard!$K$4:$K$9</c:f>
              <c:numCache>
                <c:formatCode>General</c:formatCode>
                <c:ptCount val="5"/>
                <c:pt idx="0">
                  <c:v>7</c:v>
                </c:pt>
                <c:pt idx="1">
                  <c:v>6</c:v>
                </c:pt>
                <c:pt idx="2">
                  <c:v>6</c:v>
                </c:pt>
                <c:pt idx="3">
                  <c:v>16</c:v>
                </c:pt>
                <c:pt idx="4">
                  <c:v>6</c:v>
                </c:pt>
              </c:numCache>
            </c:numRef>
          </c:val>
          <c:extLst>
            <c:ext xmlns:c16="http://schemas.microsoft.com/office/drawing/2014/chart" uri="{C3380CC4-5D6E-409C-BE32-E72D297353CC}">
              <c16:uniqueId val="{00000000-7F64-43DE-8EB6-8E9B1DADE9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116017</xdr:rowOff>
    </xdr:from>
    <xdr:to>
      <xdr:col>3</xdr:col>
      <xdr:colOff>601014</xdr:colOff>
      <xdr:row>21</xdr:row>
      <xdr:rowOff>161737</xdr:rowOff>
    </xdr:to>
    <xdr:graphicFrame macro="">
      <xdr:nvGraphicFramePr>
        <xdr:cNvPr id="3" name="Chart 2">
          <a:extLst>
            <a:ext uri="{FF2B5EF4-FFF2-40B4-BE49-F238E27FC236}">
              <a16:creationId xmlns:a16="http://schemas.microsoft.com/office/drawing/2014/main" id="{CC31FBF2-620D-42B9-AE37-A27744403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708660</xdr:colOff>
      <xdr:row>10</xdr:row>
      <xdr:rowOff>87630</xdr:rowOff>
    </xdr:from>
    <xdr:to>
      <xdr:col>8</xdr:col>
      <xdr:colOff>0</xdr:colOff>
      <xdr:row>22</xdr:row>
      <xdr:rowOff>0</xdr:rowOff>
    </xdr:to>
    <xdr:graphicFrame macro="">
      <xdr:nvGraphicFramePr>
        <xdr:cNvPr id="4" name="Chart 3">
          <a:extLst>
            <a:ext uri="{FF2B5EF4-FFF2-40B4-BE49-F238E27FC236}">
              <a16:creationId xmlns:a16="http://schemas.microsoft.com/office/drawing/2014/main" id="{94BA26D6-13A1-CA80-B0B8-7ABFEACC7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228600</xdr:colOff>
      <xdr:row>11</xdr:row>
      <xdr:rowOff>15240</xdr:rowOff>
    </xdr:from>
    <xdr:to>
      <xdr:col>12</xdr:col>
      <xdr:colOff>654676</xdr:colOff>
      <xdr:row>22</xdr:row>
      <xdr:rowOff>7620</xdr:rowOff>
    </xdr:to>
    <xdr:graphicFrame macro="">
      <xdr:nvGraphicFramePr>
        <xdr:cNvPr id="5" name="Chart 4">
          <a:extLst>
            <a:ext uri="{FF2B5EF4-FFF2-40B4-BE49-F238E27FC236}">
              <a16:creationId xmlns:a16="http://schemas.microsoft.com/office/drawing/2014/main" id="{E15EB047-33F8-2244-8907-A50A9D6FD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409547</xdr:colOff>
      <xdr:row>9</xdr:row>
      <xdr:rowOff>53235</xdr:rowOff>
    </xdr:from>
    <xdr:to>
      <xdr:col>12</xdr:col>
      <xdr:colOff>745364</xdr:colOff>
      <xdr:row>11</xdr:row>
      <xdr:rowOff>118057</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DBBD93D1-5E23-AF15-2E6E-8A94D6E3A12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55334" y="1695291"/>
              <a:ext cx="4387833" cy="429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256395</xdr:colOff>
      <xdr:row>0</xdr:row>
      <xdr:rowOff>0</xdr:rowOff>
    </xdr:from>
    <xdr:to>
      <xdr:col>7</xdr:col>
      <xdr:colOff>579549</xdr:colOff>
      <xdr:row>2</xdr:row>
      <xdr:rowOff>32198</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91339E4F-9618-8FC5-4115-45F3386DB61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00846" y="0"/>
              <a:ext cx="5903999" cy="397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0.85861</cdr:x>
      <cdr:y>0.45743</cdr:y>
    </cdr:from>
    <cdr:to>
      <cdr:x>0.9959</cdr:x>
      <cdr:y>0.50361</cdr:y>
    </cdr:to>
    <cdr:sp macro="" textlink="">
      <cdr:nvSpPr>
        <cdr:cNvPr id="2" name="TextBox 1">
          <a:extLst xmlns:a="http://schemas.openxmlformats.org/drawingml/2006/main">
            <a:ext uri="{FF2B5EF4-FFF2-40B4-BE49-F238E27FC236}">
              <a16:creationId xmlns:a16="http://schemas.microsoft.com/office/drawing/2014/main" id="{351FF478-EF64-81A9-1C96-C9E9E0D473CF}"/>
            </a:ext>
          </a:extLst>
        </cdr:cNvPr>
        <cdr:cNvSpPr txBox="1"/>
      </cdr:nvSpPr>
      <cdr:spPr>
        <a:xfrm xmlns:a="http://schemas.openxmlformats.org/drawingml/2006/main">
          <a:off x="3192780" y="1207770"/>
          <a:ext cx="510540" cy="1219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an_ap" refreshedDate="46075.910148495372" createdVersion="8" refreshedVersion="8" minRefreshableVersion="3" recordCount="201" xr:uid="{FC3F5843-FF9C-4F22-A1C3-D0B69D8D5B30}">
  <cacheSource type="worksheet">
    <worksheetSource ref="A1:M1048576" sheet="Employee_Data"/>
  </cacheSource>
  <cacheFields count="13">
    <cacheField name="Employee ID" numFmtId="0">
      <sharedItems containsString="0" containsBlank="1" containsNumber="1" containsInteger="1" minValue="2000" maxValue="2199"/>
    </cacheField>
    <cacheField name="Name" numFmtId="0">
      <sharedItems containsBlank="1"/>
    </cacheField>
    <cacheField name="Department" numFmtId="0">
      <sharedItems containsBlank="1" count="6">
        <s v="HR"/>
        <s v="Sales"/>
        <s v="Data Science"/>
        <s v="Finance"/>
        <s v="Marketing"/>
        <m/>
      </sharedItems>
    </cacheField>
    <cacheField name="Marks" numFmtId="0">
      <sharedItems containsBlank="1" containsMixedTypes="1" containsNumber="1" containsInteger="1" minValue="30" maxValue="98" count="32">
        <s v=""/>
        <n v="74"/>
        <n v="52"/>
        <n v="54"/>
        <n v="67"/>
        <n v="46"/>
        <n v="70"/>
        <n v="96"/>
        <n v="94"/>
        <n v="40"/>
        <n v="50"/>
        <n v="60"/>
        <n v="76"/>
        <n v="90"/>
        <n v="98"/>
        <n v="62"/>
        <n v="95"/>
        <n v="42"/>
        <n v="80"/>
        <n v="49"/>
        <n v="32"/>
        <n v="66"/>
        <n v="63"/>
        <n v="59"/>
        <n v="87"/>
        <n v="86"/>
        <n v="56"/>
        <n v="41"/>
        <n v="44"/>
        <n v="30"/>
        <n v="69"/>
        <m/>
      </sharedItems>
    </cacheField>
    <cacheField name="Attendance" numFmtId="0">
      <sharedItems containsString="0" containsBlank="1" containsNumber="1" containsInteger="1" minValue="0" maxValue="100"/>
    </cacheField>
    <cacheField name="Salary" numFmtId="0">
      <sharedItems containsBlank="1" containsMixedTypes="1" containsNumber="1" containsInteger="1" minValue="20502" maxValue="99310"/>
    </cacheField>
    <cacheField name="Experience" numFmtId="0">
      <sharedItems containsString="0" containsBlank="1" containsNumber="1" containsInteger="1" minValue="0" maxValue="12"/>
    </cacheField>
    <cacheField name="City" numFmtId="0">
      <sharedItems containsBlank="1" count="6">
        <s v="Hyderabad"/>
        <s v="Bangalore"/>
        <s v="Chennai"/>
        <s v="Mumbai"/>
        <s v="Delhi"/>
        <m/>
      </sharedItems>
    </cacheField>
    <cacheField name="Email" numFmtId="0">
      <sharedItems containsBlank="1"/>
    </cacheField>
    <cacheField name="Status" numFmtId="0">
      <sharedItems containsBlank="1"/>
    </cacheField>
    <cacheField name="Eligibility" numFmtId="0">
      <sharedItems containsBlank="1"/>
    </cacheField>
    <cacheField name="Risk/Normal" numFmtId="0">
      <sharedItems containsBlank="1" count="4">
        <s v="Missing"/>
        <s v="Normal"/>
        <s v="Risk"/>
        <m/>
      </sharedItems>
    </cacheField>
    <cacheField name="Grade" numFmtId="0">
      <sharedItems containsBlank="1"/>
    </cacheField>
  </cacheFields>
  <extLst>
    <ext xmlns:x14="http://schemas.microsoft.com/office/spreadsheetml/2009/9/main" uri="{725AE2AE-9491-48be-B2B4-4EB974FC3084}">
      <x14:pivotCacheDefinition pivotCacheId="162676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n v="2000"/>
    <s v="Ravi"/>
    <x v="0"/>
    <x v="0"/>
    <n v="42"/>
    <n v="64366"/>
    <n v="1"/>
    <x v="0"/>
    <s v="ravi@gmail.com"/>
    <s v="Missing"/>
    <s v="Missing"/>
    <x v="0"/>
    <s v="Missing"/>
  </r>
  <r>
    <n v="2001"/>
    <s v="Pooja"/>
    <x v="1"/>
    <x v="0"/>
    <n v="29"/>
    <s v=""/>
    <n v="10"/>
    <x v="1"/>
    <s v="pooja@gmail.com"/>
    <s v="Missing"/>
    <s v="Missing"/>
    <x v="0"/>
    <s v="Missing"/>
  </r>
  <r>
    <n v="2002"/>
    <s v="Meena"/>
    <x v="2"/>
    <x v="0"/>
    <m/>
    <s v=""/>
    <n v="5"/>
    <x v="0"/>
    <s v="meena@gmail.com"/>
    <s v="Missing"/>
    <s v="Missing"/>
    <x v="0"/>
    <s v="Missing"/>
  </r>
  <r>
    <n v="2003"/>
    <s v="Sneha"/>
    <x v="3"/>
    <x v="0"/>
    <n v="9"/>
    <n v="36767"/>
    <n v="4"/>
    <x v="2"/>
    <s v="sneha@gmail.com"/>
    <s v="Missing"/>
    <s v="Missing"/>
    <x v="0"/>
    <s v="Missing"/>
  </r>
  <r>
    <n v="2004"/>
    <s v="Sneha"/>
    <x v="2"/>
    <x v="0"/>
    <m/>
    <n v="64234"/>
    <n v="3"/>
    <x v="1"/>
    <s v="sneha@gmail.com"/>
    <s v="Missing"/>
    <s v="Missing"/>
    <x v="0"/>
    <s v="Missing"/>
  </r>
  <r>
    <n v="2005"/>
    <s v="John"/>
    <x v="3"/>
    <x v="0"/>
    <n v="61"/>
    <n v="95363"/>
    <n v="11"/>
    <x v="3"/>
    <s v="john@gmail.com"/>
    <s v="Missing"/>
    <s v="Missing"/>
    <x v="0"/>
    <s v="Missing"/>
  </r>
  <r>
    <n v="2006"/>
    <s v="Rahul"/>
    <x v="3"/>
    <x v="0"/>
    <m/>
    <s v=""/>
    <n v="12"/>
    <x v="4"/>
    <s v="rahul@gmail.com"/>
    <s v="Missing"/>
    <s v="Missing"/>
    <x v="0"/>
    <s v="Missing"/>
  </r>
  <r>
    <n v="2007"/>
    <s v="Simran"/>
    <x v="4"/>
    <x v="0"/>
    <n v="2"/>
    <s v=""/>
    <n v="4"/>
    <x v="2"/>
    <s v="simran@gmail.com"/>
    <s v="Missing"/>
    <s v="Missing"/>
    <x v="0"/>
    <s v="Missing"/>
  </r>
  <r>
    <n v="2008"/>
    <s v="Rahul"/>
    <x v="4"/>
    <x v="0"/>
    <n v="90"/>
    <s v=""/>
    <n v="10"/>
    <x v="2"/>
    <s v="rahul@gmail.com"/>
    <s v="Missing"/>
    <s v="Missing"/>
    <x v="0"/>
    <s v="Missing"/>
  </r>
  <r>
    <n v="2009"/>
    <s v="Darshan"/>
    <x v="0"/>
    <x v="0"/>
    <n v="5"/>
    <n v="51772"/>
    <n v="3"/>
    <x v="3"/>
    <s v="darshan@gmail.com"/>
    <s v="Missing"/>
    <s v="Missing"/>
    <x v="0"/>
    <s v="Missing"/>
  </r>
  <r>
    <n v="2010"/>
    <s v="Pooja"/>
    <x v="3"/>
    <x v="0"/>
    <n v="21"/>
    <s v=""/>
    <n v="6"/>
    <x v="3"/>
    <s v="pooja@gmail.com"/>
    <s v="Missing"/>
    <s v="Missing"/>
    <x v="0"/>
    <s v="Missing"/>
  </r>
  <r>
    <n v="2011"/>
    <s v="Simran"/>
    <x v="1"/>
    <x v="0"/>
    <m/>
    <n v="70377"/>
    <n v="6"/>
    <x v="3"/>
    <s v="simran@gmail.com"/>
    <s v="Missing"/>
    <s v="Missing"/>
    <x v="0"/>
    <s v="Missing"/>
  </r>
  <r>
    <n v="2012"/>
    <s v="Arjun"/>
    <x v="3"/>
    <x v="0"/>
    <m/>
    <s v=""/>
    <n v="5"/>
    <x v="0"/>
    <s v="arjun@gmail.com"/>
    <s v="Missing"/>
    <s v="Missing"/>
    <x v="0"/>
    <s v="Missing"/>
  </r>
  <r>
    <n v="2013"/>
    <s v="Rahul"/>
    <x v="1"/>
    <x v="0"/>
    <n v="21"/>
    <s v=""/>
    <n v="11"/>
    <x v="2"/>
    <s v="rahul@gmail.com"/>
    <s v="Missing"/>
    <s v="Missing"/>
    <x v="0"/>
    <s v="Missing"/>
  </r>
  <r>
    <n v="2014"/>
    <s v="Darshan"/>
    <x v="0"/>
    <x v="0"/>
    <n v="89"/>
    <s v=""/>
    <n v="9"/>
    <x v="0"/>
    <s v="darshan@gmail.com"/>
    <s v="Missing"/>
    <s v="Missing"/>
    <x v="0"/>
    <s v="Missing"/>
  </r>
  <r>
    <n v="2015"/>
    <s v="Kiran"/>
    <x v="2"/>
    <x v="1"/>
    <n v="55"/>
    <s v=""/>
    <n v="12"/>
    <x v="2"/>
    <s v="kiran@gmail.com"/>
    <s v="Pass"/>
    <s v="Not Eligible"/>
    <x v="1"/>
    <s v="C"/>
  </r>
  <r>
    <n v="2016"/>
    <s v="Meena"/>
    <x v="0"/>
    <x v="2"/>
    <m/>
    <s v=""/>
    <n v="11"/>
    <x v="2"/>
    <s v="meena@gmail.com"/>
    <s v="Pass"/>
    <s v="Missing"/>
    <x v="0"/>
    <s v="C"/>
  </r>
  <r>
    <n v="2017"/>
    <s v="Pooja"/>
    <x v="1"/>
    <x v="0"/>
    <n v="88"/>
    <s v=""/>
    <n v="12"/>
    <x v="3"/>
    <s v="pooja@gmail.com"/>
    <s v="Missing"/>
    <s v="Missing"/>
    <x v="0"/>
    <s v="Missing"/>
  </r>
  <r>
    <n v="2018"/>
    <s v="John"/>
    <x v="1"/>
    <x v="0"/>
    <n v="9"/>
    <n v="68045"/>
    <n v="0"/>
    <x v="2"/>
    <s v="john@gmail.com"/>
    <s v="Missing"/>
    <s v="Missing"/>
    <x v="0"/>
    <s v="Missing"/>
  </r>
  <r>
    <n v="2019"/>
    <s v="John"/>
    <x v="2"/>
    <x v="0"/>
    <n v="12"/>
    <n v="22527"/>
    <n v="2"/>
    <x v="0"/>
    <s v="john@gmail.com"/>
    <s v="Missing"/>
    <s v="Missing"/>
    <x v="0"/>
    <s v="Missing"/>
  </r>
  <r>
    <n v="2020"/>
    <s v="Anu"/>
    <x v="3"/>
    <x v="3"/>
    <n v="19"/>
    <s v=""/>
    <n v="1"/>
    <x v="1"/>
    <s v="anu@gmail.com"/>
    <s v="Pass"/>
    <s v="Not Eligible"/>
    <x v="2"/>
    <s v="C"/>
  </r>
  <r>
    <n v="2021"/>
    <s v="Simran"/>
    <x v="3"/>
    <x v="4"/>
    <m/>
    <s v=""/>
    <n v="5"/>
    <x v="3"/>
    <s v="simran@gmail.com"/>
    <s v="Pass"/>
    <s v="Missing"/>
    <x v="0"/>
    <s v="C"/>
  </r>
  <r>
    <n v="2022"/>
    <s v="Kiran"/>
    <x v="4"/>
    <x v="5"/>
    <n v="99"/>
    <n v="66730"/>
    <n v="11"/>
    <x v="4"/>
    <s v="kiran@gmail.com"/>
    <s v="Pass"/>
    <s v="Eligible"/>
    <x v="1"/>
    <s v="F"/>
  </r>
  <r>
    <n v="2023"/>
    <s v="Ravi"/>
    <x v="2"/>
    <x v="6"/>
    <m/>
    <s v=""/>
    <n v="12"/>
    <x v="0"/>
    <s v="ravi@gmail.com"/>
    <s v="Pass"/>
    <s v="Missing"/>
    <x v="0"/>
    <s v="C"/>
  </r>
  <r>
    <n v="2024"/>
    <s v="Ravi"/>
    <x v="0"/>
    <x v="7"/>
    <m/>
    <s v=""/>
    <n v="10"/>
    <x v="2"/>
    <s v="ravi@gmail.com"/>
    <s v="Pass"/>
    <s v="Missing"/>
    <x v="0"/>
    <s v="A"/>
  </r>
  <r>
    <n v="2025"/>
    <s v="Kiran"/>
    <x v="3"/>
    <x v="0"/>
    <m/>
    <s v=""/>
    <n v="10"/>
    <x v="3"/>
    <s v="kiran@gmail.com"/>
    <s v="Missing"/>
    <s v="Missing"/>
    <x v="0"/>
    <s v="Missing"/>
  </r>
  <r>
    <n v="2026"/>
    <s v="Pooja"/>
    <x v="3"/>
    <x v="8"/>
    <n v="55"/>
    <n v="74357"/>
    <n v="3"/>
    <x v="3"/>
    <s v="pooja@gmail.com"/>
    <s v="Pass"/>
    <s v="Not Eligible"/>
    <x v="1"/>
    <s v="A"/>
  </r>
  <r>
    <n v="2027"/>
    <s v="Darshan"/>
    <x v="2"/>
    <x v="9"/>
    <n v="73"/>
    <s v=""/>
    <n v="2"/>
    <x v="0"/>
    <s v="darshan@gmail.com"/>
    <s v="Pass"/>
    <s v="Not Eligible"/>
    <x v="1"/>
    <s v="F"/>
  </r>
  <r>
    <n v="2028"/>
    <s v="Meena"/>
    <x v="0"/>
    <x v="0"/>
    <m/>
    <s v=""/>
    <n v="10"/>
    <x v="2"/>
    <s v="meena@gmail.com"/>
    <s v="Missing"/>
    <s v="Missing"/>
    <x v="0"/>
    <s v="Missing"/>
  </r>
  <r>
    <n v="2029"/>
    <s v="Ravi"/>
    <x v="0"/>
    <x v="0"/>
    <m/>
    <s v=""/>
    <n v="7"/>
    <x v="4"/>
    <s v="ravi@gmail.com"/>
    <s v="Missing"/>
    <s v="Missing"/>
    <x v="0"/>
    <s v="Missing"/>
  </r>
  <r>
    <n v="2030"/>
    <s v="Darshan"/>
    <x v="1"/>
    <x v="1"/>
    <n v="45"/>
    <s v=""/>
    <n v="11"/>
    <x v="3"/>
    <s v="darshan@gmail.com"/>
    <s v="Pass"/>
    <s v="Not Eligible"/>
    <x v="2"/>
    <s v="C"/>
  </r>
  <r>
    <n v="2031"/>
    <s v="Pooja"/>
    <x v="0"/>
    <x v="0"/>
    <m/>
    <s v=""/>
    <n v="8"/>
    <x v="0"/>
    <s v="pooja@gmail.com"/>
    <s v="Missing"/>
    <s v="Missing"/>
    <x v="0"/>
    <s v="Missing"/>
  </r>
  <r>
    <n v="2032"/>
    <s v="Anu"/>
    <x v="2"/>
    <x v="0"/>
    <n v="59"/>
    <s v=""/>
    <n v="5"/>
    <x v="0"/>
    <s v="anu@gmail.com"/>
    <s v="Missing"/>
    <s v="Missing"/>
    <x v="0"/>
    <s v="Missing"/>
  </r>
  <r>
    <n v="2033"/>
    <s v="Sneha"/>
    <x v="3"/>
    <x v="0"/>
    <m/>
    <s v=""/>
    <n v="4"/>
    <x v="4"/>
    <s v="sneha@gmail.com"/>
    <s v="Missing"/>
    <s v="Missing"/>
    <x v="0"/>
    <s v="Missing"/>
  </r>
  <r>
    <n v="2034"/>
    <s v="Sneha"/>
    <x v="3"/>
    <x v="0"/>
    <n v="48"/>
    <s v=""/>
    <n v="3"/>
    <x v="1"/>
    <s v="sneha@gmail.com"/>
    <s v="Missing"/>
    <s v="Missing"/>
    <x v="0"/>
    <s v="Missing"/>
  </r>
  <r>
    <n v="2035"/>
    <s v="Darshan"/>
    <x v="1"/>
    <x v="0"/>
    <n v="24"/>
    <s v=""/>
    <n v="7"/>
    <x v="2"/>
    <s v="darshan@gmail.com"/>
    <s v="Missing"/>
    <s v="Missing"/>
    <x v="0"/>
    <s v="Missing"/>
  </r>
  <r>
    <n v="2036"/>
    <s v="Sneha"/>
    <x v="4"/>
    <x v="0"/>
    <m/>
    <s v=""/>
    <n v="2"/>
    <x v="4"/>
    <s v="sneha@gmail.com"/>
    <s v="Missing"/>
    <s v="Missing"/>
    <x v="0"/>
    <s v="Missing"/>
  </r>
  <r>
    <n v="2037"/>
    <s v="Pooja"/>
    <x v="0"/>
    <x v="0"/>
    <n v="42"/>
    <s v=""/>
    <n v="7"/>
    <x v="1"/>
    <s v="pooja@gmail.com"/>
    <s v="Missing"/>
    <s v="Missing"/>
    <x v="0"/>
    <s v="Missing"/>
  </r>
  <r>
    <n v="2038"/>
    <s v="Rahul"/>
    <x v="4"/>
    <x v="0"/>
    <n v="0"/>
    <n v="69269"/>
    <n v="12"/>
    <x v="4"/>
    <s v="rahul@gmail.com"/>
    <s v="Missing"/>
    <s v="Missing"/>
    <x v="0"/>
    <s v="Missing"/>
  </r>
  <r>
    <n v="2039"/>
    <s v="John"/>
    <x v="3"/>
    <x v="0"/>
    <m/>
    <s v=""/>
    <n v="10"/>
    <x v="3"/>
    <s v="john@gmail.com"/>
    <s v="Missing"/>
    <s v="Missing"/>
    <x v="0"/>
    <s v="Missing"/>
  </r>
  <r>
    <n v="2040"/>
    <s v="Ravi"/>
    <x v="4"/>
    <x v="0"/>
    <n v="18"/>
    <s v=""/>
    <n v="6"/>
    <x v="2"/>
    <s v="ravi@gmail.com"/>
    <s v="Missing"/>
    <s v="Missing"/>
    <x v="0"/>
    <s v="Missing"/>
  </r>
  <r>
    <n v="2041"/>
    <s v="Pooja"/>
    <x v="2"/>
    <x v="0"/>
    <m/>
    <s v=""/>
    <n v="10"/>
    <x v="1"/>
    <s v="pooja@gmail.com"/>
    <s v="Missing"/>
    <s v="Missing"/>
    <x v="0"/>
    <s v="Missing"/>
  </r>
  <r>
    <n v="2042"/>
    <s v="Kiran"/>
    <x v="3"/>
    <x v="10"/>
    <n v="9"/>
    <n v="95000"/>
    <n v="7"/>
    <x v="0"/>
    <s v="kiran@gmail.com"/>
    <s v="Pass"/>
    <s v="Not Eligible"/>
    <x v="2"/>
    <s v="C"/>
  </r>
  <r>
    <n v="2043"/>
    <s v="Arjun"/>
    <x v="3"/>
    <x v="0"/>
    <n v="91"/>
    <n v="93509"/>
    <n v="4"/>
    <x v="1"/>
    <s v="arjun@gmail.com"/>
    <s v="Missing"/>
    <s v="Missing"/>
    <x v="0"/>
    <s v="Missing"/>
  </r>
  <r>
    <n v="2044"/>
    <s v="Anu"/>
    <x v="3"/>
    <x v="0"/>
    <n v="67"/>
    <s v=""/>
    <n v="0"/>
    <x v="4"/>
    <s v="anu@gmail.com"/>
    <s v="Missing"/>
    <s v="Missing"/>
    <x v="0"/>
    <s v="Missing"/>
  </r>
  <r>
    <n v="2045"/>
    <s v="Darshan"/>
    <x v="0"/>
    <x v="0"/>
    <m/>
    <s v=""/>
    <n v="12"/>
    <x v="3"/>
    <s v="darshan@gmail.com"/>
    <s v="Missing"/>
    <s v="Missing"/>
    <x v="0"/>
    <s v="Missing"/>
  </r>
  <r>
    <n v="2046"/>
    <s v="Arjun"/>
    <x v="2"/>
    <x v="0"/>
    <m/>
    <s v=""/>
    <n v="0"/>
    <x v="2"/>
    <s v="arjun@gmail.com"/>
    <s v="Missing"/>
    <s v="Missing"/>
    <x v="0"/>
    <s v="Missing"/>
  </r>
  <r>
    <n v="2047"/>
    <s v="Anu"/>
    <x v="4"/>
    <x v="0"/>
    <n v="14"/>
    <s v=""/>
    <n v="11"/>
    <x v="0"/>
    <s v="anu@gmail.com"/>
    <s v="Missing"/>
    <s v="Missing"/>
    <x v="0"/>
    <s v="Missing"/>
  </r>
  <r>
    <n v="2048"/>
    <s v="Pooja"/>
    <x v="2"/>
    <x v="0"/>
    <n v="27"/>
    <n v="53795"/>
    <n v="7"/>
    <x v="1"/>
    <s v="pooja@gmail.com"/>
    <s v="Missing"/>
    <s v="Missing"/>
    <x v="0"/>
    <s v="Missing"/>
  </r>
  <r>
    <n v="2049"/>
    <s v="John"/>
    <x v="3"/>
    <x v="0"/>
    <m/>
    <s v=""/>
    <n v="4"/>
    <x v="1"/>
    <s v="john@gmail.com"/>
    <s v="Missing"/>
    <s v="Missing"/>
    <x v="0"/>
    <s v="Missing"/>
  </r>
  <r>
    <n v="2050"/>
    <s v="Pooja"/>
    <x v="4"/>
    <x v="0"/>
    <m/>
    <n v="65965"/>
    <n v="3"/>
    <x v="3"/>
    <s v="pooja@gmail.com"/>
    <s v="Missing"/>
    <s v="Missing"/>
    <x v="0"/>
    <s v="Missing"/>
  </r>
  <r>
    <n v="2051"/>
    <s v="Anu"/>
    <x v="2"/>
    <x v="0"/>
    <m/>
    <s v=""/>
    <n v="7"/>
    <x v="0"/>
    <s v="anu@gmail.com"/>
    <s v="Missing"/>
    <s v="Missing"/>
    <x v="0"/>
    <s v="Missing"/>
  </r>
  <r>
    <n v="2052"/>
    <s v="Sneha"/>
    <x v="3"/>
    <x v="0"/>
    <m/>
    <n v="73036"/>
    <n v="8"/>
    <x v="1"/>
    <s v="sneha@gmail.com"/>
    <s v="Missing"/>
    <s v="Missing"/>
    <x v="0"/>
    <s v="Missing"/>
  </r>
  <r>
    <n v="2053"/>
    <s v="Pooja"/>
    <x v="0"/>
    <x v="0"/>
    <m/>
    <n v="83922"/>
    <n v="0"/>
    <x v="3"/>
    <s v="pooja@gmail.com"/>
    <s v="Missing"/>
    <s v="Missing"/>
    <x v="0"/>
    <s v="Missing"/>
  </r>
  <r>
    <n v="2054"/>
    <s v="Arjun"/>
    <x v="2"/>
    <x v="0"/>
    <n v="8"/>
    <s v=""/>
    <n v="10"/>
    <x v="3"/>
    <s v="arjun@gmail.com"/>
    <s v="Missing"/>
    <s v="Missing"/>
    <x v="0"/>
    <s v="Missing"/>
  </r>
  <r>
    <n v="2055"/>
    <s v="Pooja"/>
    <x v="2"/>
    <x v="0"/>
    <n v="41"/>
    <s v=""/>
    <n v="1"/>
    <x v="3"/>
    <s v="pooja@gmail.com"/>
    <s v="Missing"/>
    <s v="Missing"/>
    <x v="0"/>
    <s v="Missing"/>
  </r>
  <r>
    <n v="2056"/>
    <s v="Arjun"/>
    <x v="2"/>
    <x v="0"/>
    <n v="23"/>
    <s v=""/>
    <n v="3"/>
    <x v="0"/>
    <s v="arjun@gmail.com"/>
    <s v="Missing"/>
    <s v="Missing"/>
    <x v="0"/>
    <s v="Missing"/>
  </r>
  <r>
    <n v="2057"/>
    <s v="Anu"/>
    <x v="1"/>
    <x v="0"/>
    <n v="11"/>
    <s v=""/>
    <n v="8"/>
    <x v="0"/>
    <s v="anu@gmail.com"/>
    <s v="Missing"/>
    <s v="Missing"/>
    <x v="0"/>
    <s v="Missing"/>
  </r>
  <r>
    <n v="2058"/>
    <s v="Darshan"/>
    <x v="2"/>
    <x v="0"/>
    <n v="30"/>
    <s v=""/>
    <n v="7"/>
    <x v="4"/>
    <s v="darshan@gmail.com"/>
    <s v="Missing"/>
    <s v="Missing"/>
    <x v="0"/>
    <s v="Missing"/>
  </r>
  <r>
    <n v="2059"/>
    <s v="Ravi"/>
    <x v="1"/>
    <x v="11"/>
    <n v="57"/>
    <n v="37027"/>
    <n v="6"/>
    <x v="1"/>
    <s v="ravi@gmail.com"/>
    <s v="Pass"/>
    <s v="Not Eligible"/>
    <x v="1"/>
    <s v="C"/>
  </r>
  <r>
    <n v="2060"/>
    <s v="Kiran"/>
    <x v="4"/>
    <x v="0"/>
    <n v="29"/>
    <s v=""/>
    <n v="5"/>
    <x v="0"/>
    <s v="kiran@gmail.com"/>
    <s v="Missing"/>
    <s v="Missing"/>
    <x v="0"/>
    <s v="Missing"/>
  </r>
  <r>
    <n v="2061"/>
    <s v="Simran"/>
    <x v="4"/>
    <x v="0"/>
    <n v="68"/>
    <n v="77975"/>
    <n v="11"/>
    <x v="1"/>
    <s v="simran@gmail.com"/>
    <s v="Missing"/>
    <s v="Missing"/>
    <x v="0"/>
    <s v="Missing"/>
  </r>
  <r>
    <n v="2062"/>
    <s v="Simran"/>
    <x v="1"/>
    <x v="0"/>
    <n v="90"/>
    <s v=""/>
    <n v="1"/>
    <x v="1"/>
    <s v="simran@gmail.com"/>
    <s v="Missing"/>
    <s v="Missing"/>
    <x v="0"/>
    <s v="Missing"/>
  </r>
  <r>
    <n v="2063"/>
    <s v="Anu"/>
    <x v="2"/>
    <x v="0"/>
    <n v="55"/>
    <n v="41050"/>
    <n v="12"/>
    <x v="1"/>
    <s v="anu@gmail.com"/>
    <s v="Missing"/>
    <s v="Missing"/>
    <x v="0"/>
    <s v="Missing"/>
  </r>
  <r>
    <n v="2064"/>
    <s v="John"/>
    <x v="0"/>
    <x v="0"/>
    <n v="1"/>
    <n v="71164"/>
    <n v="5"/>
    <x v="1"/>
    <s v="john@gmail.com"/>
    <s v="Missing"/>
    <s v="Missing"/>
    <x v="0"/>
    <s v="Missing"/>
  </r>
  <r>
    <n v="2065"/>
    <s v="Simran"/>
    <x v="4"/>
    <x v="6"/>
    <n v="8"/>
    <n v="20502"/>
    <n v="2"/>
    <x v="3"/>
    <s v="simran@gmail.com"/>
    <s v="Pass"/>
    <s v="Not Eligible"/>
    <x v="2"/>
    <s v="C"/>
  </r>
  <r>
    <n v="2066"/>
    <s v="Anu"/>
    <x v="0"/>
    <x v="0"/>
    <m/>
    <s v=""/>
    <n v="5"/>
    <x v="0"/>
    <s v="anu@gmail.com"/>
    <s v="Missing"/>
    <s v="Missing"/>
    <x v="0"/>
    <s v="Missing"/>
  </r>
  <r>
    <n v="2067"/>
    <s v="Pooja"/>
    <x v="4"/>
    <x v="0"/>
    <n v="40"/>
    <n v="30192"/>
    <n v="3"/>
    <x v="0"/>
    <s v="pooja@gmail.com"/>
    <s v="Missing"/>
    <s v="Missing"/>
    <x v="0"/>
    <s v="Missing"/>
  </r>
  <r>
    <n v="2068"/>
    <s v="Arjun"/>
    <x v="1"/>
    <x v="0"/>
    <n v="5"/>
    <s v=""/>
    <n v="5"/>
    <x v="0"/>
    <s v="arjun@gmail.com"/>
    <s v="Missing"/>
    <s v="Missing"/>
    <x v="0"/>
    <s v="Missing"/>
  </r>
  <r>
    <n v="2069"/>
    <s v="Kiran"/>
    <x v="0"/>
    <x v="0"/>
    <m/>
    <s v=""/>
    <n v="8"/>
    <x v="0"/>
    <s v="kiran@gmail.com"/>
    <s v="Missing"/>
    <s v="Missing"/>
    <x v="0"/>
    <s v="Missing"/>
  </r>
  <r>
    <n v="2070"/>
    <s v="Anu"/>
    <x v="2"/>
    <x v="0"/>
    <n v="94"/>
    <n v="41182"/>
    <n v="8"/>
    <x v="4"/>
    <s v="anu@gmail.com"/>
    <s v="Missing"/>
    <s v="Missing"/>
    <x v="0"/>
    <s v="Missing"/>
  </r>
  <r>
    <n v="2071"/>
    <s v="Pooja"/>
    <x v="0"/>
    <x v="0"/>
    <n v="14"/>
    <s v=""/>
    <n v="6"/>
    <x v="0"/>
    <s v="pooja@gmail.com"/>
    <s v="Missing"/>
    <s v="Missing"/>
    <x v="0"/>
    <s v="Missing"/>
  </r>
  <r>
    <n v="2072"/>
    <s v="Rahul"/>
    <x v="4"/>
    <x v="0"/>
    <m/>
    <s v=""/>
    <n v="9"/>
    <x v="0"/>
    <s v="rahul@gmail.com"/>
    <s v="Missing"/>
    <s v="Missing"/>
    <x v="0"/>
    <s v="Missing"/>
  </r>
  <r>
    <n v="2073"/>
    <s v="Kiran"/>
    <x v="4"/>
    <x v="0"/>
    <m/>
    <s v=""/>
    <n v="4"/>
    <x v="0"/>
    <s v="kiran@gmail.com"/>
    <s v="Missing"/>
    <s v="Missing"/>
    <x v="0"/>
    <s v="Missing"/>
  </r>
  <r>
    <n v="2074"/>
    <s v="John"/>
    <x v="1"/>
    <x v="0"/>
    <n v="24"/>
    <s v=""/>
    <n v="9"/>
    <x v="0"/>
    <s v="john@gmail.com"/>
    <s v="Missing"/>
    <s v="Missing"/>
    <x v="0"/>
    <s v="Missing"/>
  </r>
  <r>
    <n v="2075"/>
    <s v="Darshan"/>
    <x v="0"/>
    <x v="0"/>
    <n v="66"/>
    <n v="99001"/>
    <n v="6"/>
    <x v="0"/>
    <s v="darshan@gmail.com"/>
    <s v="Missing"/>
    <s v="Missing"/>
    <x v="0"/>
    <s v="Missing"/>
  </r>
  <r>
    <n v="2076"/>
    <s v="Darshan"/>
    <x v="1"/>
    <x v="0"/>
    <m/>
    <n v="51470"/>
    <n v="11"/>
    <x v="2"/>
    <s v="darshan@gmail.com"/>
    <s v="Missing"/>
    <s v="Missing"/>
    <x v="0"/>
    <s v="Missing"/>
  </r>
  <r>
    <n v="2077"/>
    <s v="Kiran"/>
    <x v="0"/>
    <x v="0"/>
    <n v="73"/>
    <n v="80632"/>
    <n v="0"/>
    <x v="2"/>
    <s v="kiran@gmail.com"/>
    <s v="Missing"/>
    <s v="Missing"/>
    <x v="0"/>
    <s v="Missing"/>
  </r>
  <r>
    <n v="2078"/>
    <s v="Rahul"/>
    <x v="2"/>
    <x v="0"/>
    <n v="51"/>
    <s v=""/>
    <n v="5"/>
    <x v="1"/>
    <s v="rahul@gmail.com"/>
    <s v="Missing"/>
    <s v="Missing"/>
    <x v="0"/>
    <s v="Missing"/>
  </r>
  <r>
    <n v="2079"/>
    <s v="John"/>
    <x v="0"/>
    <x v="12"/>
    <n v="30"/>
    <s v=""/>
    <n v="7"/>
    <x v="1"/>
    <s v="john@gmail.com"/>
    <s v="Pass"/>
    <s v="Not Eligible"/>
    <x v="2"/>
    <s v="B"/>
  </r>
  <r>
    <n v="2080"/>
    <s v="Ravi"/>
    <x v="3"/>
    <x v="0"/>
    <n v="12"/>
    <n v="39824"/>
    <n v="12"/>
    <x v="2"/>
    <s v="ravi@gmail.com"/>
    <s v="Missing"/>
    <s v="Missing"/>
    <x v="0"/>
    <s v="Missing"/>
  </r>
  <r>
    <n v="2081"/>
    <s v="Anu"/>
    <x v="2"/>
    <x v="0"/>
    <n v="30"/>
    <n v="99310"/>
    <n v="5"/>
    <x v="4"/>
    <s v="anu@gmail.com"/>
    <s v="Missing"/>
    <s v="Missing"/>
    <x v="0"/>
    <s v="Missing"/>
  </r>
  <r>
    <n v="2082"/>
    <s v="Darshan"/>
    <x v="0"/>
    <x v="0"/>
    <n v="79"/>
    <s v=""/>
    <n v="11"/>
    <x v="2"/>
    <s v="darshan@gmail.com"/>
    <s v="Missing"/>
    <s v="Missing"/>
    <x v="0"/>
    <s v="Missing"/>
  </r>
  <r>
    <n v="2083"/>
    <s v="Anu"/>
    <x v="2"/>
    <x v="0"/>
    <m/>
    <s v=""/>
    <n v="12"/>
    <x v="3"/>
    <s v="anu@gmail.com"/>
    <s v="Missing"/>
    <s v="Missing"/>
    <x v="0"/>
    <s v="Missing"/>
  </r>
  <r>
    <n v="2084"/>
    <s v="Darshan"/>
    <x v="2"/>
    <x v="0"/>
    <n v="7"/>
    <n v="59395"/>
    <n v="8"/>
    <x v="4"/>
    <s v="darshan@gmail.com"/>
    <s v="Missing"/>
    <s v="Missing"/>
    <x v="0"/>
    <s v="Missing"/>
  </r>
  <r>
    <n v="2085"/>
    <s v="Ravi"/>
    <x v="2"/>
    <x v="0"/>
    <n v="30"/>
    <s v=""/>
    <n v="9"/>
    <x v="2"/>
    <s v="ravi@gmail.com"/>
    <s v="Missing"/>
    <s v="Missing"/>
    <x v="0"/>
    <s v="Missing"/>
  </r>
  <r>
    <n v="2086"/>
    <s v="Sneha"/>
    <x v="2"/>
    <x v="0"/>
    <n v="86"/>
    <n v="93110"/>
    <n v="3"/>
    <x v="4"/>
    <s v="sneha@gmail.com"/>
    <s v="Missing"/>
    <s v="Missing"/>
    <x v="0"/>
    <s v="Missing"/>
  </r>
  <r>
    <n v="2087"/>
    <s v="Ravi"/>
    <x v="2"/>
    <x v="0"/>
    <m/>
    <n v="87035"/>
    <n v="6"/>
    <x v="2"/>
    <s v="ravi@gmail.com"/>
    <s v="Missing"/>
    <s v="Missing"/>
    <x v="0"/>
    <s v="Missing"/>
  </r>
  <r>
    <n v="2088"/>
    <s v="Arjun"/>
    <x v="3"/>
    <x v="9"/>
    <n v="20"/>
    <n v="89950"/>
    <n v="11"/>
    <x v="2"/>
    <s v="arjun@gmail.com"/>
    <s v="Pass"/>
    <s v="Not Eligible"/>
    <x v="2"/>
    <s v="F"/>
  </r>
  <r>
    <n v="2089"/>
    <s v="Darshan"/>
    <x v="1"/>
    <x v="0"/>
    <n v="26"/>
    <s v=""/>
    <n v="11"/>
    <x v="3"/>
    <s v="darshan@gmail.com"/>
    <s v="Missing"/>
    <s v="Missing"/>
    <x v="0"/>
    <s v="Missing"/>
  </r>
  <r>
    <n v="2090"/>
    <s v="Kiran"/>
    <x v="2"/>
    <x v="13"/>
    <n v="24"/>
    <n v="74453"/>
    <n v="4"/>
    <x v="0"/>
    <s v="kiran@gmail.com"/>
    <s v="Pass"/>
    <s v="Not Eligible"/>
    <x v="2"/>
    <s v="A"/>
  </r>
  <r>
    <n v="2091"/>
    <s v="Pooja"/>
    <x v="4"/>
    <x v="0"/>
    <n v="26"/>
    <s v=""/>
    <n v="7"/>
    <x v="0"/>
    <s v="pooja@gmail.com"/>
    <s v="Missing"/>
    <s v="Missing"/>
    <x v="0"/>
    <s v="Missing"/>
  </r>
  <r>
    <n v="2092"/>
    <s v="John"/>
    <x v="1"/>
    <x v="0"/>
    <n v="22"/>
    <n v="76147"/>
    <n v="7"/>
    <x v="0"/>
    <s v="john@gmail.com"/>
    <s v="Missing"/>
    <s v="Missing"/>
    <x v="0"/>
    <s v="Missing"/>
  </r>
  <r>
    <n v="2093"/>
    <s v="Sneha"/>
    <x v="2"/>
    <x v="0"/>
    <m/>
    <s v=""/>
    <n v="6"/>
    <x v="0"/>
    <s v="sneha@gmail.com"/>
    <s v="Missing"/>
    <s v="Missing"/>
    <x v="0"/>
    <s v="Missing"/>
  </r>
  <r>
    <n v="2094"/>
    <s v="John"/>
    <x v="4"/>
    <x v="0"/>
    <n v="88"/>
    <s v=""/>
    <n v="5"/>
    <x v="1"/>
    <s v="john@gmail.com"/>
    <s v="Missing"/>
    <s v="Missing"/>
    <x v="0"/>
    <s v="Missing"/>
  </r>
  <r>
    <n v="2095"/>
    <s v="Arjun"/>
    <x v="4"/>
    <x v="0"/>
    <m/>
    <n v="72814"/>
    <n v="4"/>
    <x v="2"/>
    <s v="arjun@gmail.com"/>
    <s v="Missing"/>
    <s v="Missing"/>
    <x v="0"/>
    <s v="Missing"/>
  </r>
  <r>
    <n v="2096"/>
    <s v="Arjun"/>
    <x v="3"/>
    <x v="14"/>
    <n v="67"/>
    <n v="34579"/>
    <n v="5"/>
    <x v="2"/>
    <s v="arjun@gmail.com"/>
    <s v="Pass"/>
    <s v="Not Eligible"/>
    <x v="1"/>
    <s v="A"/>
  </r>
  <r>
    <n v="2097"/>
    <s v="Sneha"/>
    <x v="1"/>
    <x v="0"/>
    <n v="49"/>
    <n v="22374"/>
    <n v="6"/>
    <x v="0"/>
    <s v="sneha@gmail.com"/>
    <s v="Missing"/>
    <s v="Missing"/>
    <x v="0"/>
    <s v="Missing"/>
  </r>
  <r>
    <n v="2098"/>
    <s v="Arjun"/>
    <x v="3"/>
    <x v="15"/>
    <n v="100"/>
    <s v=""/>
    <n v="12"/>
    <x v="2"/>
    <s v="arjun@gmail.com"/>
    <s v="Pass"/>
    <s v="Eligible"/>
    <x v="1"/>
    <s v="C"/>
  </r>
  <r>
    <n v="2099"/>
    <s v="Sneha"/>
    <x v="3"/>
    <x v="0"/>
    <n v="52"/>
    <n v="95856"/>
    <n v="7"/>
    <x v="3"/>
    <s v="sneha@gmail.com"/>
    <s v="Missing"/>
    <s v="Missing"/>
    <x v="0"/>
    <s v="Missing"/>
  </r>
  <r>
    <n v="2100"/>
    <s v="Simran"/>
    <x v="1"/>
    <x v="0"/>
    <n v="19"/>
    <s v=""/>
    <n v="10"/>
    <x v="4"/>
    <s v="simran@gmail.com"/>
    <s v="Missing"/>
    <s v="Missing"/>
    <x v="0"/>
    <s v="Missing"/>
  </r>
  <r>
    <n v="2101"/>
    <s v="Meena"/>
    <x v="0"/>
    <x v="0"/>
    <n v="26"/>
    <n v="32884"/>
    <n v="3"/>
    <x v="3"/>
    <s v="meena@gmail.com"/>
    <s v="Missing"/>
    <s v="Missing"/>
    <x v="0"/>
    <s v="Missing"/>
  </r>
  <r>
    <n v="2102"/>
    <s v="Pooja"/>
    <x v="4"/>
    <x v="0"/>
    <m/>
    <s v=""/>
    <n v="12"/>
    <x v="4"/>
    <s v="pooja@gmail.com"/>
    <s v="Missing"/>
    <s v="Missing"/>
    <x v="0"/>
    <s v="Missing"/>
  </r>
  <r>
    <n v="2103"/>
    <s v="Kiran"/>
    <x v="4"/>
    <x v="16"/>
    <m/>
    <s v=""/>
    <n v="4"/>
    <x v="0"/>
    <s v="kiran@gmail.com"/>
    <s v="Pass"/>
    <s v="Missing"/>
    <x v="0"/>
    <s v="A"/>
  </r>
  <r>
    <n v="2104"/>
    <s v="John"/>
    <x v="1"/>
    <x v="0"/>
    <m/>
    <s v=""/>
    <n v="6"/>
    <x v="4"/>
    <s v="john@gmail.com"/>
    <s v="Missing"/>
    <s v="Missing"/>
    <x v="0"/>
    <s v="Missing"/>
  </r>
  <r>
    <n v="2105"/>
    <s v="Ravi"/>
    <x v="4"/>
    <x v="0"/>
    <m/>
    <s v=""/>
    <n v="3"/>
    <x v="0"/>
    <s v="ravi@gmail.com"/>
    <s v="Missing"/>
    <s v="Missing"/>
    <x v="0"/>
    <s v="Missing"/>
  </r>
  <r>
    <n v="2106"/>
    <s v="Ravi"/>
    <x v="1"/>
    <x v="0"/>
    <m/>
    <s v=""/>
    <n v="9"/>
    <x v="0"/>
    <s v="ravi@gmail.com"/>
    <s v="Missing"/>
    <s v="Missing"/>
    <x v="0"/>
    <s v="Missing"/>
  </r>
  <r>
    <n v="2107"/>
    <s v="Rahul"/>
    <x v="0"/>
    <x v="17"/>
    <m/>
    <n v="48201"/>
    <n v="6"/>
    <x v="4"/>
    <s v="rahul@gmail.com"/>
    <s v="Pass"/>
    <s v="Missing"/>
    <x v="0"/>
    <s v="F"/>
  </r>
  <r>
    <n v="2108"/>
    <s v="Anu"/>
    <x v="4"/>
    <x v="0"/>
    <n v="82"/>
    <s v=""/>
    <n v="11"/>
    <x v="1"/>
    <s v="anu@gmail.com"/>
    <s v="Missing"/>
    <s v="Missing"/>
    <x v="0"/>
    <s v="Missing"/>
  </r>
  <r>
    <n v="2109"/>
    <s v="Rahul"/>
    <x v="3"/>
    <x v="0"/>
    <n v="17"/>
    <n v="42871"/>
    <n v="4"/>
    <x v="3"/>
    <s v="rahul@gmail.com"/>
    <s v="Missing"/>
    <s v="Missing"/>
    <x v="0"/>
    <s v="Missing"/>
  </r>
  <r>
    <n v="2110"/>
    <s v="Simran"/>
    <x v="1"/>
    <x v="0"/>
    <m/>
    <n v="52700"/>
    <n v="11"/>
    <x v="2"/>
    <s v="simran@gmail.com"/>
    <s v="Missing"/>
    <s v="Missing"/>
    <x v="0"/>
    <s v="Missing"/>
  </r>
  <r>
    <n v="2111"/>
    <s v="Anu"/>
    <x v="4"/>
    <x v="0"/>
    <m/>
    <n v="62450"/>
    <n v="5"/>
    <x v="1"/>
    <s v="anu@gmail.com"/>
    <s v="Missing"/>
    <s v="Missing"/>
    <x v="0"/>
    <s v="Missing"/>
  </r>
  <r>
    <n v="2112"/>
    <s v="Meena"/>
    <x v="0"/>
    <x v="0"/>
    <n v="54"/>
    <n v="75824"/>
    <n v="0"/>
    <x v="0"/>
    <s v="meena@gmail.com"/>
    <s v="Missing"/>
    <s v="Missing"/>
    <x v="0"/>
    <s v="Missing"/>
  </r>
  <r>
    <n v="2113"/>
    <s v="Rahul"/>
    <x v="4"/>
    <x v="0"/>
    <m/>
    <s v=""/>
    <n v="11"/>
    <x v="4"/>
    <s v="rahul@gmail.com"/>
    <s v="Missing"/>
    <s v="Missing"/>
    <x v="0"/>
    <s v="Missing"/>
  </r>
  <r>
    <n v="2114"/>
    <s v="Arjun"/>
    <x v="3"/>
    <x v="18"/>
    <n v="13"/>
    <s v=""/>
    <n v="1"/>
    <x v="2"/>
    <s v="arjun@gmail.com"/>
    <s v="Pass"/>
    <s v="Not Eligible"/>
    <x v="2"/>
    <s v="B"/>
  </r>
  <r>
    <n v="2115"/>
    <s v="Ravi"/>
    <x v="2"/>
    <x v="0"/>
    <n v="19"/>
    <s v=""/>
    <n v="10"/>
    <x v="0"/>
    <s v="ravi@gmail.com"/>
    <s v="Missing"/>
    <s v="Missing"/>
    <x v="0"/>
    <s v="Missing"/>
  </r>
  <r>
    <n v="2116"/>
    <s v="Simran"/>
    <x v="0"/>
    <x v="0"/>
    <n v="54"/>
    <n v="78293"/>
    <n v="2"/>
    <x v="0"/>
    <s v="simran@gmail.com"/>
    <s v="Missing"/>
    <s v="Missing"/>
    <x v="0"/>
    <s v="Missing"/>
  </r>
  <r>
    <n v="2117"/>
    <s v="Rahul"/>
    <x v="4"/>
    <x v="0"/>
    <m/>
    <s v=""/>
    <n v="1"/>
    <x v="4"/>
    <s v="rahul@gmail.com"/>
    <s v="Missing"/>
    <s v="Missing"/>
    <x v="0"/>
    <s v="Missing"/>
  </r>
  <r>
    <n v="2118"/>
    <s v="Ravi"/>
    <x v="0"/>
    <x v="0"/>
    <n v="4"/>
    <s v=""/>
    <n v="7"/>
    <x v="2"/>
    <s v="ravi@gmail.com"/>
    <s v="Missing"/>
    <s v="Missing"/>
    <x v="0"/>
    <s v="Missing"/>
  </r>
  <r>
    <n v="2119"/>
    <s v="Meena"/>
    <x v="1"/>
    <x v="0"/>
    <m/>
    <s v=""/>
    <n v="2"/>
    <x v="3"/>
    <s v="meena@gmail.com"/>
    <s v="Missing"/>
    <s v="Missing"/>
    <x v="0"/>
    <s v="Missing"/>
  </r>
  <r>
    <n v="2120"/>
    <s v="Arjun"/>
    <x v="0"/>
    <x v="0"/>
    <m/>
    <n v="37017"/>
    <n v="3"/>
    <x v="3"/>
    <s v="arjun@gmail.com"/>
    <s v="Missing"/>
    <s v="Missing"/>
    <x v="0"/>
    <s v="Missing"/>
  </r>
  <r>
    <n v="2121"/>
    <s v="Rahul"/>
    <x v="3"/>
    <x v="19"/>
    <n v="10"/>
    <n v="96413"/>
    <n v="3"/>
    <x v="3"/>
    <s v="rahul@gmail.com"/>
    <s v="Pass"/>
    <s v="Not Eligible"/>
    <x v="2"/>
    <s v="F"/>
  </r>
  <r>
    <n v="2122"/>
    <s v="John"/>
    <x v="4"/>
    <x v="0"/>
    <m/>
    <n v="93628"/>
    <n v="10"/>
    <x v="0"/>
    <s v="john@gmail.com"/>
    <s v="Missing"/>
    <s v="Missing"/>
    <x v="0"/>
    <s v="Missing"/>
  </r>
  <r>
    <n v="2123"/>
    <s v="Darshan"/>
    <x v="4"/>
    <x v="0"/>
    <m/>
    <n v="55041"/>
    <n v="7"/>
    <x v="3"/>
    <s v="darshan@gmail.com"/>
    <s v="Missing"/>
    <s v="Missing"/>
    <x v="0"/>
    <s v="Missing"/>
  </r>
  <r>
    <n v="2124"/>
    <s v="John"/>
    <x v="4"/>
    <x v="0"/>
    <n v="47"/>
    <s v=""/>
    <n v="4"/>
    <x v="2"/>
    <s v="john@gmail.com"/>
    <s v="Missing"/>
    <s v="Missing"/>
    <x v="0"/>
    <s v="Missing"/>
  </r>
  <r>
    <n v="2125"/>
    <s v="Arjun"/>
    <x v="1"/>
    <x v="0"/>
    <m/>
    <s v=""/>
    <n v="9"/>
    <x v="2"/>
    <s v="arjun@gmail.com"/>
    <s v="Missing"/>
    <s v="Missing"/>
    <x v="0"/>
    <s v="Missing"/>
  </r>
  <r>
    <n v="2126"/>
    <s v="Rahul"/>
    <x v="1"/>
    <x v="0"/>
    <n v="80"/>
    <s v=""/>
    <n v="0"/>
    <x v="0"/>
    <s v="rahul@gmail.com"/>
    <s v="Missing"/>
    <s v="Missing"/>
    <x v="0"/>
    <s v="Missing"/>
  </r>
  <r>
    <n v="2127"/>
    <s v="Rahul"/>
    <x v="0"/>
    <x v="0"/>
    <n v="25"/>
    <s v=""/>
    <n v="9"/>
    <x v="3"/>
    <s v="rahul@gmail.com"/>
    <s v="Missing"/>
    <s v="Missing"/>
    <x v="0"/>
    <s v="Missing"/>
  </r>
  <r>
    <n v="2128"/>
    <s v="Sneha"/>
    <x v="2"/>
    <x v="8"/>
    <m/>
    <s v=""/>
    <n v="1"/>
    <x v="2"/>
    <s v="sneha@gmail.com"/>
    <s v="Pass"/>
    <s v="Missing"/>
    <x v="0"/>
    <s v="A"/>
  </r>
  <r>
    <n v="2129"/>
    <s v="John"/>
    <x v="1"/>
    <x v="20"/>
    <m/>
    <s v=""/>
    <n v="6"/>
    <x v="1"/>
    <s v="john@gmail.com"/>
    <s v="Fail"/>
    <s v="Missing"/>
    <x v="0"/>
    <s v="F"/>
  </r>
  <r>
    <n v="2130"/>
    <s v="Meena"/>
    <x v="0"/>
    <x v="0"/>
    <n v="10"/>
    <n v="72230"/>
    <n v="7"/>
    <x v="2"/>
    <s v="meena@gmail.com"/>
    <s v="Missing"/>
    <s v="Missing"/>
    <x v="0"/>
    <s v="Missing"/>
  </r>
  <r>
    <n v="2131"/>
    <s v="Anu"/>
    <x v="1"/>
    <x v="0"/>
    <n v="83"/>
    <s v=""/>
    <n v="12"/>
    <x v="2"/>
    <s v="anu@gmail.com"/>
    <s v="Missing"/>
    <s v="Missing"/>
    <x v="0"/>
    <s v="Missing"/>
  </r>
  <r>
    <n v="2132"/>
    <s v="Simran"/>
    <x v="2"/>
    <x v="21"/>
    <m/>
    <s v=""/>
    <n v="11"/>
    <x v="0"/>
    <s v="simran@gmail.com"/>
    <s v="Pass"/>
    <s v="Missing"/>
    <x v="0"/>
    <s v="C"/>
  </r>
  <r>
    <n v="2133"/>
    <s v="Rahul"/>
    <x v="3"/>
    <x v="0"/>
    <n v="76"/>
    <s v=""/>
    <n v="1"/>
    <x v="2"/>
    <s v="rahul@gmail.com"/>
    <s v="Missing"/>
    <s v="Missing"/>
    <x v="0"/>
    <s v="Missing"/>
  </r>
  <r>
    <n v="2134"/>
    <s v="Anu"/>
    <x v="0"/>
    <x v="0"/>
    <m/>
    <s v=""/>
    <n v="7"/>
    <x v="2"/>
    <s v="anu@gmail.com"/>
    <s v="Missing"/>
    <s v="Missing"/>
    <x v="0"/>
    <s v="Missing"/>
  </r>
  <r>
    <n v="2135"/>
    <s v="John"/>
    <x v="3"/>
    <x v="0"/>
    <m/>
    <n v="21736"/>
    <n v="6"/>
    <x v="1"/>
    <s v="john@gmail.com"/>
    <s v="Missing"/>
    <s v="Missing"/>
    <x v="0"/>
    <s v="Missing"/>
  </r>
  <r>
    <n v="2136"/>
    <s v="Meena"/>
    <x v="3"/>
    <x v="0"/>
    <m/>
    <s v=""/>
    <n v="0"/>
    <x v="0"/>
    <s v="meena@gmail.com"/>
    <s v="Missing"/>
    <s v="Missing"/>
    <x v="0"/>
    <s v="Missing"/>
  </r>
  <r>
    <n v="2137"/>
    <s v="Ravi"/>
    <x v="2"/>
    <x v="16"/>
    <n v="49"/>
    <s v=""/>
    <n v="4"/>
    <x v="4"/>
    <s v="ravi@gmail.com"/>
    <s v="Pass"/>
    <s v="Not Eligible"/>
    <x v="2"/>
    <s v="A"/>
  </r>
  <r>
    <n v="2138"/>
    <s v="Anu"/>
    <x v="1"/>
    <x v="22"/>
    <n v="21"/>
    <s v=""/>
    <n v="7"/>
    <x v="4"/>
    <s v="anu@gmail.com"/>
    <s v="Pass"/>
    <s v="Not Eligible"/>
    <x v="2"/>
    <s v="C"/>
  </r>
  <r>
    <n v="2139"/>
    <s v="Arjun"/>
    <x v="1"/>
    <x v="0"/>
    <n v="88"/>
    <s v=""/>
    <n v="1"/>
    <x v="3"/>
    <s v="arjun@gmail.com"/>
    <s v="Missing"/>
    <s v="Missing"/>
    <x v="0"/>
    <s v="Missing"/>
  </r>
  <r>
    <n v="2140"/>
    <s v="Darshan"/>
    <x v="2"/>
    <x v="0"/>
    <m/>
    <n v="25656"/>
    <n v="8"/>
    <x v="2"/>
    <s v="darshan@gmail.com"/>
    <s v="Missing"/>
    <s v="Missing"/>
    <x v="0"/>
    <s v="Missing"/>
  </r>
  <r>
    <n v="2141"/>
    <s v="Rahul"/>
    <x v="1"/>
    <x v="0"/>
    <m/>
    <s v=""/>
    <n v="3"/>
    <x v="1"/>
    <s v="rahul@gmail.com"/>
    <s v="Missing"/>
    <s v="Missing"/>
    <x v="0"/>
    <s v="Missing"/>
  </r>
  <r>
    <n v="2142"/>
    <s v="Darshan"/>
    <x v="4"/>
    <x v="0"/>
    <m/>
    <s v=""/>
    <n v="8"/>
    <x v="0"/>
    <s v="darshan@gmail.com"/>
    <s v="Missing"/>
    <s v="Missing"/>
    <x v="0"/>
    <s v="Missing"/>
  </r>
  <r>
    <n v="2143"/>
    <s v="Darshan"/>
    <x v="4"/>
    <x v="23"/>
    <n v="23"/>
    <n v="33352"/>
    <n v="12"/>
    <x v="0"/>
    <s v="darshan@gmail.com"/>
    <s v="Pass"/>
    <s v="Not Eligible"/>
    <x v="2"/>
    <s v="C"/>
  </r>
  <r>
    <n v="2144"/>
    <s v="Rahul"/>
    <x v="3"/>
    <x v="0"/>
    <m/>
    <n v="45654"/>
    <n v="10"/>
    <x v="4"/>
    <s v="rahul@gmail.com"/>
    <s v="Missing"/>
    <s v="Missing"/>
    <x v="0"/>
    <s v="Missing"/>
  </r>
  <r>
    <n v="2145"/>
    <s v="Meena"/>
    <x v="3"/>
    <x v="11"/>
    <n v="58"/>
    <s v=""/>
    <n v="3"/>
    <x v="1"/>
    <s v="meena@gmail.com"/>
    <s v="Pass"/>
    <s v="Not Eligible"/>
    <x v="1"/>
    <s v="C"/>
  </r>
  <r>
    <n v="2146"/>
    <s v="Kiran"/>
    <x v="2"/>
    <x v="0"/>
    <n v="16"/>
    <s v=""/>
    <n v="1"/>
    <x v="1"/>
    <s v="kiran@gmail.com"/>
    <s v="Missing"/>
    <s v="Missing"/>
    <x v="0"/>
    <s v="Missing"/>
  </r>
  <r>
    <n v="2147"/>
    <s v="Rahul"/>
    <x v="0"/>
    <x v="15"/>
    <n v="16"/>
    <s v=""/>
    <n v="3"/>
    <x v="1"/>
    <s v="rahul@gmail.com"/>
    <s v="Pass"/>
    <s v="Not Eligible"/>
    <x v="2"/>
    <s v="C"/>
  </r>
  <r>
    <n v="2148"/>
    <s v="Simran"/>
    <x v="3"/>
    <x v="0"/>
    <n v="60"/>
    <s v=""/>
    <n v="6"/>
    <x v="4"/>
    <s v="simran@gmail.com"/>
    <s v="Missing"/>
    <s v="Missing"/>
    <x v="0"/>
    <s v="Missing"/>
  </r>
  <r>
    <n v="2149"/>
    <s v="John"/>
    <x v="1"/>
    <x v="0"/>
    <m/>
    <n v="78275"/>
    <n v="11"/>
    <x v="2"/>
    <s v="john@gmail.com"/>
    <s v="Missing"/>
    <s v="Missing"/>
    <x v="0"/>
    <s v="Missing"/>
  </r>
  <r>
    <n v="2150"/>
    <s v="Anu"/>
    <x v="3"/>
    <x v="0"/>
    <n v="25"/>
    <s v=""/>
    <n v="0"/>
    <x v="0"/>
    <s v="anu@gmail.com"/>
    <s v="Missing"/>
    <s v="Missing"/>
    <x v="0"/>
    <s v="Missing"/>
  </r>
  <r>
    <n v="2151"/>
    <s v="Kiran"/>
    <x v="2"/>
    <x v="0"/>
    <n v="3"/>
    <n v="94727"/>
    <n v="8"/>
    <x v="3"/>
    <s v="kiran@gmail.com"/>
    <s v="Missing"/>
    <s v="Missing"/>
    <x v="0"/>
    <s v="Missing"/>
  </r>
  <r>
    <n v="2152"/>
    <s v="Meena"/>
    <x v="0"/>
    <x v="0"/>
    <n v="3"/>
    <s v=""/>
    <n v="4"/>
    <x v="3"/>
    <s v="meena@gmail.com"/>
    <s v="Missing"/>
    <s v="Missing"/>
    <x v="0"/>
    <s v="Missing"/>
  </r>
  <r>
    <n v="2153"/>
    <s v="Meena"/>
    <x v="3"/>
    <x v="0"/>
    <m/>
    <s v=""/>
    <n v="6"/>
    <x v="2"/>
    <s v="meena@gmail.com"/>
    <s v="Missing"/>
    <s v="Missing"/>
    <x v="0"/>
    <s v="Missing"/>
  </r>
  <r>
    <n v="2154"/>
    <s v="Kiran"/>
    <x v="0"/>
    <x v="9"/>
    <n v="92"/>
    <s v=""/>
    <n v="9"/>
    <x v="2"/>
    <s v="kiran@gmail.com"/>
    <s v="Pass"/>
    <s v="Eligible"/>
    <x v="1"/>
    <s v="F"/>
  </r>
  <r>
    <n v="2155"/>
    <s v="Simran"/>
    <x v="2"/>
    <x v="24"/>
    <m/>
    <n v="86695"/>
    <n v="2"/>
    <x v="3"/>
    <s v="simran@gmail.com"/>
    <s v="Pass"/>
    <s v="Missing"/>
    <x v="0"/>
    <s v="B"/>
  </r>
  <r>
    <n v="2156"/>
    <s v="Sneha"/>
    <x v="2"/>
    <x v="0"/>
    <m/>
    <s v=""/>
    <n v="11"/>
    <x v="0"/>
    <s v="sneha@gmail.com"/>
    <s v="Missing"/>
    <s v="Missing"/>
    <x v="0"/>
    <s v="Missing"/>
  </r>
  <r>
    <n v="2157"/>
    <s v="Anu"/>
    <x v="1"/>
    <x v="0"/>
    <m/>
    <s v=""/>
    <n v="9"/>
    <x v="3"/>
    <s v="anu@gmail.com"/>
    <s v="Missing"/>
    <s v="Missing"/>
    <x v="0"/>
    <s v="Missing"/>
  </r>
  <r>
    <n v="2158"/>
    <s v="Darshan"/>
    <x v="1"/>
    <x v="0"/>
    <n v="83"/>
    <s v=""/>
    <n v="4"/>
    <x v="3"/>
    <s v="darshan@gmail.com"/>
    <s v="Missing"/>
    <s v="Missing"/>
    <x v="0"/>
    <s v="Missing"/>
  </r>
  <r>
    <n v="2159"/>
    <s v="Anu"/>
    <x v="1"/>
    <x v="0"/>
    <n v="25"/>
    <s v=""/>
    <n v="7"/>
    <x v="4"/>
    <s v="anu@gmail.com"/>
    <s v="Missing"/>
    <s v="Missing"/>
    <x v="0"/>
    <s v="Missing"/>
  </r>
  <r>
    <n v="2160"/>
    <s v="John"/>
    <x v="3"/>
    <x v="0"/>
    <n v="24"/>
    <n v="83301"/>
    <n v="9"/>
    <x v="1"/>
    <s v="john@gmail.com"/>
    <s v="Missing"/>
    <s v="Missing"/>
    <x v="0"/>
    <s v="Missing"/>
  </r>
  <r>
    <n v="2161"/>
    <s v="Darshan"/>
    <x v="4"/>
    <x v="0"/>
    <n v="76"/>
    <n v="21100"/>
    <n v="10"/>
    <x v="1"/>
    <s v="darshan@gmail.com"/>
    <s v="Missing"/>
    <s v="Missing"/>
    <x v="0"/>
    <s v="Missing"/>
  </r>
  <r>
    <n v="2162"/>
    <s v="Ravi"/>
    <x v="3"/>
    <x v="0"/>
    <n v="25"/>
    <s v=""/>
    <n v="6"/>
    <x v="4"/>
    <s v="ravi@gmail.com"/>
    <s v="Missing"/>
    <s v="Missing"/>
    <x v="0"/>
    <s v="Missing"/>
  </r>
  <r>
    <n v="2163"/>
    <s v="Pooja"/>
    <x v="1"/>
    <x v="0"/>
    <n v="96"/>
    <n v="49809"/>
    <n v="9"/>
    <x v="1"/>
    <s v="pooja@gmail.com"/>
    <s v="Missing"/>
    <s v="Missing"/>
    <x v="0"/>
    <s v="Missing"/>
  </r>
  <r>
    <n v="2164"/>
    <s v="Anu"/>
    <x v="3"/>
    <x v="12"/>
    <m/>
    <s v=""/>
    <n v="9"/>
    <x v="1"/>
    <s v="anu@gmail.com"/>
    <s v="Pass"/>
    <s v="Missing"/>
    <x v="0"/>
    <s v="B"/>
  </r>
  <r>
    <n v="2165"/>
    <s v="Sneha"/>
    <x v="1"/>
    <x v="0"/>
    <m/>
    <s v=""/>
    <n v="11"/>
    <x v="4"/>
    <s v="sneha@gmail.com"/>
    <s v="Missing"/>
    <s v="Missing"/>
    <x v="0"/>
    <s v="Missing"/>
  </r>
  <r>
    <n v="2166"/>
    <s v="Ravi"/>
    <x v="1"/>
    <x v="0"/>
    <m/>
    <s v=""/>
    <n v="11"/>
    <x v="0"/>
    <s v="ravi@gmail.com"/>
    <s v="Missing"/>
    <s v="Missing"/>
    <x v="0"/>
    <s v="Missing"/>
  </r>
  <r>
    <n v="2167"/>
    <s v="Pooja"/>
    <x v="4"/>
    <x v="0"/>
    <n v="21"/>
    <n v="42458"/>
    <n v="10"/>
    <x v="0"/>
    <s v="pooja@gmail.com"/>
    <s v="Missing"/>
    <s v="Missing"/>
    <x v="0"/>
    <s v="Missing"/>
  </r>
  <r>
    <n v="2168"/>
    <s v="Kiran"/>
    <x v="4"/>
    <x v="0"/>
    <m/>
    <s v=""/>
    <n v="4"/>
    <x v="1"/>
    <s v="kiran@gmail.com"/>
    <s v="Missing"/>
    <s v="Missing"/>
    <x v="0"/>
    <s v="Missing"/>
  </r>
  <r>
    <n v="2169"/>
    <s v="John"/>
    <x v="2"/>
    <x v="0"/>
    <n v="19"/>
    <n v="57551"/>
    <n v="2"/>
    <x v="0"/>
    <s v="john@gmail.com"/>
    <s v="Missing"/>
    <s v="Missing"/>
    <x v="0"/>
    <s v="Missing"/>
  </r>
  <r>
    <n v="2170"/>
    <s v="Arjun"/>
    <x v="0"/>
    <x v="25"/>
    <n v="13"/>
    <s v=""/>
    <n v="7"/>
    <x v="4"/>
    <s v="arjun@gmail.com"/>
    <s v="Pass"/>
    <s v="Not Eligible"/>
    <x v="2"/>
    <s v="B"/>
  </r>
  <r>
    <n v="2171"/>
    <s v="Kiran"/>
    <x v="0"/>
    <x v="0"/>
    <m/>
    <s v=""/>
    <n v="9"/>
    <x v="2"/>
    <s v="kiran@gmail.com"/>
    <s v="Missing"/>
    <s v="Missing"/>
    <x v="0"/>
    <s v="Missing"/>
  </r>
  <r>
    <n v="2172"/>
    <s v="Arjun"/>
    <x v="4"/>
    <x v="0"/>
    <n v="54"/>
    <s v=""/>
    <n v="7"/>
    <x v="4"/>
    <s v="arjun@gmail.com"/>
    <s v="Missing"/>
    <s v="Missing"/>
    <x v="0"/>
    <s v="Missing"/>
  </r>
  <r>
    <n v="2173"/>
    <s v="Darshan"/>
    <x v="4"/>
    <x v="0"/>
    <m/>
    <n v="45099"/>
    <n v="9"/>
    <x v="0"/>
    <s v="darshan@gmail.com"/>
    <s v="Missing"/>
    <s v="Missing"/>
    <x v="0"/>
    <s v="Missing"/>
  </r>
  <r>
    <n v="2174"/>
    <s v="Darshan"/>
    <x v="1"/>
    <x v="0"/>
    <m/>
    <s v=""/>
    <n v="2"/>
    <x v="2"/>
    <s v="darshan@gmail.com"/>
    <s v="Missing"/>
    <s v="Missing"/>
    <x v="0"/>
    <s v="Missing"/>
  </r>
  <r>
    <n v="2175"/>
    <s v="Darshan"/>
    <x v="2"/>
    <x v="0"/>
    <n v="4"/>
    <s v=""/>
    <n v="11"/>
    <x v="0"/>
    <s v="darshan@gmail.com"/>
    <s v="Missing"/>
    <s v="Missing"/>
    <x v="0"/>
    <s v="Missing"/>
  </r>
  <r>
    <n v="2176"/>
    <s v="Rahul"/>
    <x v="4"/>
    <x v="0"/>
    <n v="11"/>
    <s v=""/>
    <n v="1"/>
    <x v="2"/>
    <s v="rahul@gmail.com"/>
    <s v="Missing"/>
    <s v="Missing"/>
    <x v="0"/>
    <s v="Missing"/>
  </r>
  <r>
    <n v="2177"/>
    <s v="John"/>
    <x v="2"/>
    <x v="0"/>
    <m/>
    <s v=""/>
    <n v="1"/>
    <x v="0"/>
    <s v="john@gmail.com"/>
    <s v="Missing"/>
    <s v="Missing"/>
    <x v="0"/>
    <s v="Missing"/>
  </r>
  <r>
    <n v="2178"/>
    <s v="Anu"/>
    <x v="1"/>
    <x v="0"/>
    <n v="50"/>
    <s v=""/>
    <n v="1"/>
    <x v="1"/>
    <s v="anu@gmail.com"/>
    <s v="Missing"/>
    <s v="Missing"/>
    <x v="0"/>
    <s v="Missing"/>
  </r>
  <r>
    <n v="2179"/>
    <s v="Pooja"/>
    <x v="4"/>
    <x v="3"/>
    <m/>
    <s v=""/>
    <n v="1"/>
    <x v="3"/>
    <s v="pooja@gmail.com"/>
    <s v="Pass"/>
    <s v="Missing"/>
    <x v="0"/>
    <s v="C"/>
  </r>
  <r>
    <n v="2180"/>
    <s v="Ravi"/>
    <x v="2"/>
    <x v="0"/>
    <m/>
    <s v=""/>
    <n v="4"/>
    <x v="1"/>
    <s v="ravi@gmail.com"/>
    <s v="Missing"/>
    <s v="Missing"/>
    <x v="0"/>
    <s v="Missing"/>
  </r>
  <r>
    <n v="2181"/>
    <s v="Meena"/>
    <x v="4"/>
    <x v="0"/>
    <n v="98"/>
    <s v=""/>
    <n v="1"/>
    <x v="3"/>
    <s v="meena@gmail.com"/>
    <s v="Missing"/>
    <s v="Missing"/>
    <x v="0"/>
    <s v="Missing"/>
  </r>
  <r>
    <n v="2182"/>
    <s v="Kiran"/>
    <x v="1"/>
    <x v="26"/>
    <m/>
    <s v=""/>
    <n v="3"/>
    <x v="1"/>
    <s v="kiran@gmail.com"/>
    <s v="Pass"/>
    <s v="Missing"/>
    <x v="0"/>
    <s v="C"/>
  </r>
  <r>
    <n v="2183"/>
    <s v="Darshan"/>
    <x v="2"/>
    <x v="0"/>
    <n v="13"/>
    <s v=""/>
    <n v="8"/>
    <x v="0"/>
    <s v="darshan@gmail.com"/>
    <s v="Missing"/>
    <s v="Missing"/>
    <x v="0"/>
    <s v="Missing"/>
  </r>
  <r>
    <n v="2184"/>
    <s v="Meena"/>
    <x v="0"/>
    <x v="0"/>
    <m/>
    <s v=""/>
    <n v="5"/>
    <x v="3"/>
    <s v="meena@gmail.com"/>
    <s v="Missing"/>
    <s v="Missing"/>
    <x v="0"/>
    <s v="Missing"/>
  </r>
  <r>
    <n v="2185"/>
    <s v="Kiran"/>
    <x v="3"/>
    <x v="27"/>
    <n v="73"/>
    <s v=""/>
    <n v="6"/>
    <x v="1"/>
    <s v="kiran@gmail.com"/>
    <s v="Pass"/>
    <s v="Not Eligible"/>
    <x v="1"/>
    <s v="F"/>
  </r>
  <r>
    <n v="2186"/>
    <s v="Ravi"/>
    <x v="0"/>
    <x v="0"/>
    <m/>
    <s v=""/>
    <n v="3"/>
    <x v="2"/>
    <s v="ravi@gmail.com"/>
    <s v="Missing"/>
    <s v="Missing"/>
    <x v="0"/>
    <s v="Missing"/>
  </r>
  <r>
    <n v="2187"/>
    <s v="Arjun"/>
    <x v="1"/>
    <x v="0"/>
    <n v="53"/>
    <n v="65266"/>
    <n v="10"/>
    <x v="3"/>
    <s v="arjun@gmail.com"/>
    <s v="Missing"/>
    <s v="Missing"/>
    <x v="0"/>
    <s v="Missing"/>
  </r>
  <r>
    <n v="2188"/>
    <s v="Meena"/>
    <x v="4"/>
    <x v="28"/>
    <n v="47"/>
    <s v=""/>
    <n v="1"/>
    <x v="1"/>
    <s v="meena@gmail.com"/>
    <s v="Pass"/>
    <s v="Not Eligible"/>
    <x v="2"/>
    <s v="F"/>
  </r>
  <r>
    <n v="2189"/>
    <s v="Pooja"/>
    <x v="1"/>
    <x v="0"/>
    <n v="27"/>
    <s v=""/>
    <n v="8"/>
    <x v="1"/>
    <s v="pooja@gmail.com"/>
    <s v="Missing"/>
    <s v="Missing"/>
    <x v="0"/>
    <s v="Missing"/>
  </r>
  <r>
    <n v="2190"/>
    <s v="Sneha"/>
    <x v="1"/>
    <x v="0"/>
    <n v="85"/>
    <n v="57750"/>
    <n v="12"/>
    <x v="0"/>
    <s v="sneha@gmail.com"/>
    <s v="Missing"/>
    <s v="Missing"/>
    <x v="0"/>
    <s v="Missing"/>
  </r>
  <r>
    <n v="2191"/>
    <s v="Pooja"/>
    <x v="3"/>
    <x v="29"/>
    <m/>
    <s v=""/>
    <n v="6"/>
    <x v="2"/>
    <s v="pooja@gmail.com"/>
    <s v="Fail"/>
    <s v="Missing"/>
    <x v="0"/>
    <s v="F"/>
  </r>
  <r>
    <n v="2192"/>
    <s v="Sneha"/>
    <x v="3"/>
    <x v="30"/>
    <n v="65"/>
    <n v="28147"/>
    <n v="3"/>
    <x v="0"/>
    <s v="sneha@gmail.com"/>
    <s v="Pass"/>
    <s v="Not Eligible"/>
    <x v="1"/>
    <s v="C"/>
  </r>
  <r>
    <n v="2193"/>
    <s v="Rahul"/>
    <x v="1"/>
    <x v="0"/>
    <m/>
    <s v=""/>
    <n v="10"/>
    <x v="0"/>
    <s v="rahul@gmail.com"/>
    <s v="Missing"/>
    <s v="Missing"/>
    <x v="0"/>
    <s v="Missing"/>
  </r>
  <r>
    <n v="2194"/>
    <s v="Ravi"/>
    <x v="4"/>
    <x v="0"/>
    <n v="65"/>
    <s v=""/>
    <n v="4"/>
    <x v="3"/>
    <s v="ravi@gmail.com"/>
    <s v="Missing"/>
    <s v="Missing"/>
    <x v="0"/>
    <s v="Missing"/>
  </r>
  <r>
    <n v="2195"/>
    <s v="Kiran"/>
    <x v="0"/>
    <x v="0"/>
    <m/>
    <n v="38189"/>
    <n v="2"/>
    <x v="2"/>
    <s v="kiran@gmail.com"/>
    <s v="Missing"/>
    <s v="Missing"/>
    <x v="0"/>
    <s v="Missing"/>
  </r>
  <r>
    <n v="2196"/>
    <s v="Pooja"/>
    <x v="0"/>
    <x v="0"/>
    <n v="53"/>
    <n v="51348"/>
    <n v="7"/>
    <x v="2"/>
    <s v="pooja@gmail.com"/>
    <s v="Missing"/>
    <s v="Missing"/>
    <x v="0"/>
    <s v="Missing"/>
  </r>
  <r>
    <n v="2197"/>
    <s v="Kiran"/>
    <x v="0"/>
    <x v="0"/>
    <n v="89"/>
    <s v=""/>
    <n v="6"/>
    <x v="4"/>
    <s v="kiran@gmail.com"/>
    <s v="Missing"/>
    <s v="Missing"/>
    <x v="0"/>
    <s v="Missing"/>
  </r>
  <r>
    <n v="2198"/>
    <s v="Rahul"/>
    <x v="2"/>
    <x v="9"/>
    <n v="24"/>
    <s v=""/>
    <n v="8"/>
    <x v="3"/>
    <s v="rahul@gmail.com"/>
    <s v="Pass"/>
    <s v="Not Eligible"/>
    <x v="2"/>
    <s v="F"/>
  </r>
  <r>
    <n v="2199"/>
    <s v="Darshan"/>
    <x v="3"/>
    <x v="0"/>
    <m/>
    <s v=""/>
    <n v="9"/>
    <x v="4"/>
    <s v="darshan@gmail.com"/>
    <s v="Missing"/>
    <s v="Missing"/>
    <x v="0"/>
    <s v="Missing"/>
  </r>
  <r>
    <m/>
    <m/>
    <x v="5"/>
    <x v="31"/>
    <m/>
    <m/>
    <m/>
    <x v="5"/>
    <m/>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6921B8-6FEF-4750-A4E1-9F3B1E200E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3">
    <pivotField showAll="0"/>
    <pivotField showAll="0"/>
    <pivotField axis="axisRow" showAll="0" sortType="descending">
      <items count="7">
        <item h="1" x="5"/>
        <item x="1"/>
        <item x="4"/>
        <item x="0"/>
        <item x="3"/>
        <item x="2"/>
        <item t="default"/>
      </items>
      <autoSortScope>
        <pivotArea dataOnly="0" outline="0" fieldPosition="0">
          <references count="1">
            <reference field="4294967294" count="1" selected="0">
              <x v="0"/>
            </reference>
          </references>
        </pivotArea>
      </autoSortScope>
    </pivotField>
    <pivotField dataField="1" showAll="0">
      <items count="33">
        <item x="29"/>
        <item x="20"/>
        <item x="9"/>
        <item x="27"/>
        <item x="17"/>
        <item x="28"/>
        <item x="5"/>
        <item x="19"/>
        <item x="10"/>
        <item x="2"/>
        <item x="3"/>
        <item x="26"/>
        <item x="23"/>
        <item x="11"/>
        <item x="15"/>
        <item x="22"/>
        <item x="21"/>
        <item x="4"/>
        <item x="30"/>
        <item x="6"/>
        <item x="1"/>
        <item x="12"/>
        <item x="18"/>
        <item x="25"/>
        <item x="24"/>
        <item x="13"/>
        <item x="8"/>
        <item x="16"/>
        <item x="7"/>
        <item x="14"/>
        <item x="0"/>
        <item x="31"/>
        <item t="default"/>
      </items>
    </pivotField>
    <pivotField showAll="0"/>
    <pivotField showAll="0"/>
    <pivotField showAll="0"/>
    <pivotField showAll="0">
      <items count="7">
        <item x="1"/>
        <item x="2"/>
        <item x="4"/>
        <item x="0"/>
        <item x="3"/>
        <item h="1" x="5"/>
        <item t="default"/>
      </items>
    </pivotField>
    <pivotField showAll="0"/>
    <pivotField showAll="0"/>
    <pivotField showAll="0"/>
    <pivotField showAll="0"/>
    <pivotField showAll="0"/>
  </pivotFields>
  <rowFields count="1">
    <field x="2"/>
  </rowFields>
  <rowItems count="6">
    <i>
      <x v="5"/>
    </i>
    <i>
      <x v="3"/>
    </i>
    <i>
      <x v="4"/>
    </i>
    <i>
      <x v="2"/>
    </i>
    <i>
      <x v="1"/>
    </i>
    <i t="grand">
      <x/>
    </i>
  </rowItems>
  <colItems count="1">
    <i/>
  </colItems>
  <dataFields count="1">
    <dataField name="Average of Marks" fld="3" subtotal="average" baseField="2" baseItem="1"/>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A77D1-C1A4-4FAC-B66D-E1C57461FF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9" firstHeaderRow="1" firstDataRow="1" firstDataCol="1"/>
  <pivotFields count="13">
    <pivotField dataField="1" showAll="0"/>
    <pivotField showAll="0"/>
    <pivotField showAll="0">
      <items count="7">
        <item x="2"/>
        <item h="1" x="3"/>
        <item h="1" x="0"/>
        <item h="1" x="4"/>
        <item h="1" x="1"/>
        <item h="1" x="5"/>
        <item t="default"/>
      </items>
    </pivotField>
    <pivotField showAll="0"/>
    <pivotField showAll="0"/>
    <pivotField showAll="0"/>
    <pivotField showAll="0"/>
    <pivotField axis="axisRow" multipleItemSelectionAllowed="1" showAll="0">
      <items count="7">
        <item x="1"/>
        <item x="2"/>
        <item x="4"/>
        <item x="0"/>
        <item x="3"/>
        <item h="1" x="5"/>
        <item t="default"/>
      </items>
    </pivotField>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Employee ID" fld="0" subtotal="count" baseField="7"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B1FFD4-FB6E-426A-9DF6-55E09E19E4A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7" firstHeaderRow="1" firstDataRow="1" firstDataCol="1"/>
  <pivotFields count="13">
    <pivotField dataField="1" showAll="0"/>
    <pivotField showAll="0"/>
    <pivotField showAll="0"/>
    <pivotField showAll="0"/>
    <pivotField showAll="0"/>
    <pivotField showAll="0"/>
    <pivotField showAll="0"/>
    <pivotField showAll="0">
      <items count="7">
        <item x="1"/>
        <item x="2"/>
        <item x="4"/>
        <item x="0"/>
        <item x="3"/>
        <item h="1" x="5"/>
        <item t="default"/>
      </items>
    </pivotField>
    <pivotField showAll="0"/>
    <pivotField showAll="0"/>
    <pivotField showAll="0"/>
    <pivotField axis="axisRow" showAll="0">
      <items count="5">
        <item x="0"/>
        <item x="1"/>
        <item x="2"/>
        <item h="1" x="3"/>
        <item t="default"/>
      </items>
    </pivotField>
    <pivotField showAll="0"/>
  </pivotFields>
  <rowFields count="1">
    <field x="11"/>
  </rowFields>
  <rowItems count="4">
    <i>
      <x/>
    </i>
    <i>
      <x v="1"/>
    </i>
    <i>
      <x v="2"/>
    </i>
    <i t="grand">
      <x/>
    </i>
  </rowItems>
  <colItems count="1">
    <i/>
  </colItems>
  <dataFields count="1">
    <dataField name="Count of Employee 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FC5711-297D-4E0C-9B32-0D15A5936C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F9" firstHeaderRow="1" firstDataRow="1" firstDataCol="1"/>
  <pivotFields count="13">
    <pivotField showAll="0"/>
    <pivotField showAll="0"/>
    <pivotField axis="axisRow" showAll="0" sortType="descending">
      <items count="7">
        <item x="2"/>
        <item x="3"/>
        <item x="0"/>
        <item x="4"/>
        <item x="1"/>
        <item h="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7">
        <item x="1"/>
        <item x="2"/>
        <item x="4"/>
        <item x="0"/>
        <item x="3"/>
        <item h="1" x="5"/>
        <item t="default"/>
      </items>
    </pivotField>
    <pivotField showAll="0"/>
    <pivotField showAll="0"/>
    <pivotField showAll="0"/>
    <pivotField showAll="0"/>
    <pivotField showAll="0"/>
  </pivotFields>
  <rowFields count="1">
    <field x="2"/>
  </rowFields>
  <rowItems count="6">
    <i>
      <x v="1"/>
    </i>
    <i>
      <x/>
    </i>
    <i>
      <x v="2"/>
    </i>
    <i>
      <x v="3"/>
    </i>
    <i>
      <x v="4"/>
    </i>
    <i t="grand">
      <x/>
    </i>
  </rowItems>
  <colItems count="1">
    <i/>
  </colItems>
  <dataFields count="1">
    <dataField name="Sum of Salary" fld="5" baseField="2"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415F714-7A94-49CB-BC39-CEF2B29AEBBB}" sourceName="Department">
  <pivotTables>
    <pivotTable tabId="2" name="PivotTable9"/>
  </pivotTables>
  <data>
    <tabular pivotCacheId="162676213">
      <items count="6">
        <i x="2" s="1"/>
        <i x="3"/>
        <i x="0"/>
        <i x="4"/>
        <i x="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2DD829B-40F5-444C-81AF-0FB2472843E7}" sourceName="City">
  <pivotTables>
    <pivotTable tabId="2" name="PivotTable6"/>
    <pivotTable tabId="2" name="PivotTable7"/>
    <pivotTable tabId="2" name="PivotTable8"/>
  </pivotTables>
  <data>
    <tabular pivotCacheId="162676213">
      <items count="6">
        <i x="1" s="1"/>
        <i x="2" s="1"/>
        <i x="4" s="1"/>
        <i x="0" s="1"/>
        <i x="3" s="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A5D30FA-6DF2-4E4E-AB40-888C0771909C}" cache="Slicer_Department" caption="Department" columnCount="5" showCaption="0" rowHeight="234950"/>
  <slicer name="City" xr10:uid="{56AEF6FA-E7E5-402C-AA76-1C069250F036}" cache="Slicer_City" caption="City" columnCount="5"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D119-200D-46FE-AA02-0A7FF880C32E}">
  <dimension ref="A3:N9"/>
  <sheetViews>
    <sheetView zoomScale="71" zoomScaleNormal="71" workbookViewId="0">
      <selection activeCell="F32" sqref="F32"/>
    </sheetView>
  </sheetViews>
  <sheetFormatPr defaultRowHeight="14.4" x14ac:dyDescent="0.3"/>
  <cols>
    <col min="1" max="1" width="13.77734375" bestFit="1" customWidth="1"/>
    <col min="2" max="2" width="16.109375" bestFit="1" customWidth="1"/>
    <col min="3" max="4" width="15.88671875" customWidth="1"/>
    <col min="5" max="5" width="13.77734375" bestFit="1" customWidth="1"/>
    <col min="6" max="6" width="12.5546875" bestFit="1" customWidth="1"/>
    <col min="7" max="7" width="7" bestFit="1" customWidth="1"/>
    <col min="8" max="8" width="12.5546875" bestFit="1" customWidth="1"/>
    <col min="9" max="9" width="5.44140625" customWidth="1"/>
    <col min="10" max="10" width="13.77734375" bestFit="1" customWidth="1"/>
    <col min="11" max="11" width="19.77734375" bestFit="1" customWidth="1"/>
    <col min="12" max="12" width="19.5546875" bestFit="1" customWidth="1"/>
    <col min="13" max="13" width="13.77734375" bestFit="1" customWidth="1"/>
    <col min="14" max="14" width="19.77734375" bestFit="1" customWidth="1"/>
  </cols>
  <sheetData>
    <row r="3" spans="1:14" x14ac:dyDescent="0.3">
      <c r="A3" s="1" t="s">
        <v>46</v>
      </c>
      <c r="B3" t="s">
        <v>48</v>
      </c>
      <c r="E3" s="1" t="s">
        <v>46</v>
      </c>
      <c r="F3" t="s">
        <v>53</v>
      </c>
      <c r="J3" s="1" t="s">
        <v>46</v>
      </c>
      <c r="K3" t="s">
        <v>52</v>
      </c>
      <c r="M3" s="1" t="s">
        <v>46</v>
      </c>
      <c r="N3" t="s">
        <v>52</v>
      </c>
    </row>
    <row r="4" spans="1:14" x14ac:dyDescent="0.3">
      <c r="A4" s="2" t="s">
        <v>16</v>
      </c>
      <c r="B4">
        <v>72.888888888888886</v>
      </c>
      <c r="E4" s="2" t="s">
        <v>18</v>
      </c>
      <c r="F4">
        <v>1046363</v>
      </c>
      <c r="J4" s="2" t="s">
        <v>14</v>
      </c>
      <c r="K4">
        <v>7</v>
      </c>
      <c r="M4" s="2" t="s">
        <v>49</v>
      </c>
      <c r="N4">
        <v>173</v>
      </c>
    </row>
    <row r="5" spans="1:14" x14ac:dyDescent="0.3">
      <c r="A5" s="2" t="s">
        <v>10</v>
      </c>
      <c r="B5">
        <v>64.857142857142861</v>
      </c>
      <c r="E5" s="2" t="s">
        <v>16</v>
      </c>
      <c r="F5">
        <v>900720</v>
      </c>
      <c r="J5" s="2" t="s">
        <v>19</v>
      </c>
      <c r="K5">
        <v>6</v>
      </c>
      <c r="M5" s="2" t="s">
        <v>50</v>
      </c>
      <c r="N5">
        <v>11</v>
      </c>
    </row>
    <row r="6" spans="1:14" x14ac:dyDescent="0.3">
      <c r="A6" s="2" t="s">
        <v>18</v>
      </c>
      <c r="B6">
        <v>62.142857142857146</v>
      </c>
      <c r="E6" s="2" t="s">
        <v>10</v>
      </c>
      <c r="F6">
        <v>884843</v>
      </c>
      <c r="J6" s="2" t="s">
        <v>23</v>
      </c>
      <c r="K6">
        <v>6</v>
      </c>
      <c r="M6" s="2" t="s">
        <v>51</v>
      </c>
      <c r="N6">
        <v>16</v>
      </c>
    </row>
    <row r="7" spans="1:14" x14ac:dyDescent="0.3">
      <c r="A7" s="2" t="s">
        <v>25</v>
      </c>
      <c r="B7">
        <v>61.333333333333336</v>
      </c>
      <c r="E7" s="2" t="s">
        <v>25</v>
      </c>
      <c r="F7">
        <v>756575</v>
      </c>
      <c r="J7" s="2" t="s">
        <v>11</v>
      </c>
      <c r="K7">
        <v>16</v>
      </c>
      <c r="M7" s="2" t="s">
        <v>47</v>
      </c>
      <c r="N7">
        <v>200</v>
      </c>
    </row>
    <row r="8" spans="1:14" x14ac:dyDescent="0.3">
      <c r="A8" s="2" t="s">
        <v>13</v>
      </c>
      <c r="B8">
        <v>57</v>
      </c>
      <c r="E8" s="2" t="s">
        <v>13</v>
      </c>
      <c r="F8">
        <v>629240</v>
      </c>
      <c r="J8" s="2" t="s">
        <v>21</v>
      </c>
      <c r="K8">
        <v>6</v>
      </c>
    </row>
    <row r="9" spans="1:14" x14ac:dyDescent="0.3">
      <c r="A9" s="2" t="s">
        <v>47</v>
      </c>
      <c r="B9">
        <v>64.219512195121951</v>
      </c>
      <c r="E9" s="2" t="s">
        <v>47</v>
      </c>
      <c r="F9">
        <v>4217741</v>
      </c>
      <c r="J9" s="2" t="s">
        <v>47</v>
      </c>
      <c r="K9">
        <v>41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Normal="100" workbookViewId="0">
      <selection activeCell="B28" sqref="B28"/>
    </sheetView>
  </sheetViews>
  <sheetFormatPr defaultRowHeight="14.4" x14ac:dyDescent="0.3"/>
  <cols>
    <col min="1" max="1" width="11.21875" bestFit="1" customWidth="1"/>
    <col min="2" max="2" width="7.6640625" bestFit="1" customWidth="1"/>
    <col min="3" max="3" width="11.44140625" bestFit="1" customWidth="1"/>
    <col min="4" max="4" width="6" customWidth="1"/>
    <col min="5" max="5" width="10.33203125" bestFit="1" customWidth="1"/>
    <col min="6" max="6" width="6" customWidth="1"/>
    <col min="7" max="7" width="9.88671875" bestFit="1" customWidth="1"/>
    <col min="8" max="8" width="9.77734375" bestFit="1" customWidth="1"/>
    <col min="9" max="9" width="17.88671875" bestFit="1" customWidth="1"/>
    <col min="10" max="10" width="7" bestFit="1" customWidth="1"/>
    <col min="11" max="11" width="10.21875" bestFit="1" customWidth="1"/>
    <col min="12" max="12" width="11.109375" bestFit="1" customWidth="1"/>
    <col min="13" max="13" width="7" bestFit="1" customWidth="1"/>
  </cols>
  <sheetData>
    <row r="1" spans="1:13" x14ac:dyDescent="0.3">
      <c r="A1" t="s">
        <v>0</v>
      </c>
      <c r="B1" t="s">
        <v>1</v>
      </c>
      <c r="C1" t="s">
        <v>2</v>
      </c>
      <c r="D1" t="s">
        <v>3</v>
      </c>
      <c r="E1" t="s">
        <v>4</v>
      </c>
      <c r="F1" t="s">
        <v>5</v>
      </c>
      <c r="G1" t="s">
        <v>6</v>
      </c>
      <c r="H1" t="s">
        <v>7</v>
      </c>
      <c r="I1" t="s">
        <v>8</v>
      </c>
      <c r="J1" t="s">
        <v>42</v>
      </c>
      <c r="K1" t="s">
        <v>43</v>
      </c>
      <c r="L1" t="s">
        <v>44</v>
      </c>
      <c r="M1" t="s">
        <v>45</v>
      </c>
    </row>
    <row r="2" spans="1:13" x14ac:dyDescent="0.3">
      <c r="A2">
        <v>2000</v>
      </c>
      <c r="B2" t="s">
        <v>9</v>
      </c>
      <c r="C2" t="s">
        <v>10</v>
      </c>
      <c r="D2" t="s">
        <v>30</v>
      </c>
      <c r="E2">
        <v>42</v>
      </c>
      <c r="F2">
        <v>64366</v>
      </c>
      <c r="G2">
        <v>1</v>
      </c>
      <c r="H2" t="s">
        <v>11</v>
      </c>
      <c r="I2" t="s">
        <v>31</v>
      </c>
      <c r="J2" t="str">
        <f>IF(D2="","Missing",IF(D2&gt;=40,"Pass","Fail"))</f>
        <v>Missing</v>
      </c>
      <c r="K2" t="str">
        <f>IF(OR(D2="",E2=""),"Missing",IF(AND(D2&gt;=40,E2&gt;=75),"Eligible","Not Eligible"))</f>
        <v>Missing</v>
      </c>
      <c r="L2" t="str">
        <f>IF(OR(D2="",E2=""),"Missing",IF(OR(D2&lt;30,E2&lt;50),"Risk","Normal"))</f>
        <v>Missing</v>
      </c>
      <c r="M2" t="str" cm="1">
        <f t="array" ref="M2">IF(D2="","Missing",_xlfn.IFS(D2&gt;=90,"A",D2&gt;=75,"B",D2&gt;=50,"C",TRUE,"F"))</f>
        <v>Missing</v>
      </c>
    </row>
    <row r="3" spans="1:13" x14ac:dyDescent="0.3">
      <c r="A3">
        <v>2001</v>
      </c>
      <c r="B3" t="s">
        <v>12</v>
      </c>
      <c r="C3" t="s">
        <v>13</v>
      </c>
      <c r="D3" t="s">
        <v>30</v>
      </c>
      <c r="E3">
        <v>29</v>
      </c>
      <c r="F3" t="s">
        <v>30</v>
      </c>
      <c r="G3">
        <v>10</v>
      </c>
      <c r="H3" t="s">
        <v>14</v>
      </c>
      <c r="I3" t="s">
        <v>32</v>
      </c>
      <c r="J3" t="str">
        <f t="shared" ref="J3:J66" si="0">IF(D3="","Missing",IF(D3&gt;=40,"Pass","Fail"))</f>
        <v>Missing</v>
      </c>
      <c r="K3" t="str">
        <f t="shared" ref="K3:K66" si="1">IF(OR(D3="",E3=""),"Missing",IF(AND(D3&gt;=40,E3&gt;=75),"Eligible","Not Eligible"))</f>
        <v>Missing</v>
      </c>
      <c r="L3" t="str">
        <f t="shared" ref="L3:L66" si="2">IF(OR(D3="",E3=""),"Missing",IF(OR(D3&lt;30,E3&lt;50),"Risk","Normal"))</f>
        <v>Missing</v>
      </c>
      <c r="M3" t="str" cm="1">
        <f t="array" ref="M3">IF(D3="","Missing",_xlfn.IFS(D3&gt;=90,"A",D3&gt;=75,"B",D3&gt;=50,"C",TRUE,"F"))</f>
        <v>Missing</v>
      </c>
    </row>
    <row r="4" spans="1:13" x14ac:dyDescent="0.3">
      <c r="A4">
        <v>2002</v>
      </c>
      <c r="B4" t="s">
        <v>15</v>
      </c>
      <c r="C4" t="s">
        <v>16</v>
      </c>
      <c r="D4" t="s">
        <v>30</v>
      </c>
      <c r="F4" t="s">
        <v>30</v>
      </c>
      <c r="G4">
        <v>5</v>
      </c>
      <c r="H4" t="s">
        <v>11</v>
      </c>
      <c r="I4" t="s">
        <v>33</v>
      </c>
      <c r="J4" t="str">
        <f t="shared" si="0"/>
        <v>Missing</v>
      </c>
      <c r="K4" t="str">
        <f t="shared" si="1"/>
        <v>Missing</v>
      </c>
      <c r="L4" t="str">
        <f t="shared" si="2"/>
        <v>Missing</v>
      </c>
      <c r="M4" t="str" cm="1">
        <f t="array" ref="M4">IF(D4="","Missing",_xlfn.IFS(D4&gt;=90,"A",D4&gt;=75,"B",D4&gt;=50,"C",TRUE,"F"))</f>
        <v>Missing</v>
      </c>
    </row>
    <row r="5" spans="1:13" x14ac:dyDescent="0.3">
      <c r="A5">
        <v>2003</v>
      </c>
      <c r="B5" t="s">
        <v>17</v>
      </c>
      <c r="C5" t="s">
        <v>18</v>
      </c>
      <c r="D5" t="s">
        <v>30</v>
      </c>
      <c r="E5">
        <v>9</v>
      </c>
      <c r="F5">
        <v>36767</v>
      </c>
      <c r="G5">
        <v>4</v>
      </c>
      <c r="H5" t="s">
        <v>19</v>
      </c>
      <c r="I5" t="s">
        <v>34</v>
      </c>
      <c r="J5" t="str">
        <f t="shared" si="0"/>
        <v>Missing</v>
      </c>
      <c r="K5" t="str">
        <f t="shared" si="1"/>
        <v>Missing</v>
      </c>
      <c r="L5" t="str">
        <f t="shared" si="2"/>
        <v>Missing</v>
      </c>
      <c r="M5" t="str" cm="1">
        <f t="array" ref="M5">IF(D5="","Missing",_xlfn.IFS(D5&gt;=90,"A",D5&gt;=75,"B",D5&gt;=50,"C",TRUE,"F"))</f>
        <v>Missing</v>
      </c>
    </row>
    <row r="6" spans="1:13" x14ac:dyDescent="0.3">
      <c r="A6">
        <v>2004</v>
      </c>
      <c r="B6" t="s">
        <v>17</v>
      </c>
      <c r="C6" t="s">
        <v>16</v>
      </c>
      <c r="D6" t="s">
        <v>30</v>
      </c>
      <c r="F6">
        <v>64234</v>
      </c>
      <c r="G6">
        <v>3</v>
      </c>
      <c r="H6" t="s">
        <v>14</v>
      </c>
      <c r="I6" t="s">
        <v>34</v>
      </c>
      <c r="J6" t="str">
        <f t="shared" si="0"/>
        <v>Missing</v>
      </c>
      <c r="K6" t="str">
        <f t="shared" si="1"/>
        <v>Missing</v>
      </c>
      <c r="L6" t="str">
        <f t="shared" si="2"/>
        <v>Missing</v>
      </c>
      <c r="M6" t="str" cm="1">
        <f t="array" ref="M6">IF(D6="","Missing",_xlfn.IFS(D6&gt;=90,"A",D6&gt;=75,"B",D6&gt;=50,"C",TRUE,"F"))</f>
        <v>Missing</v>
      </c>
    </row>
    <row r="7" spans="1:13" x14ac:dyDescent="0.3">
      <c r="A7">
        <v>2005</v>
      </c>
      <c r="B7" t="s">
        <v>20</v>
      </c>
      <c r="C7" t="s">
        <v>18</v>
      </c>
      <c r="D7" t="s">
        <v>30</v>
      </c>
      <c r="E7">
        <v>61</v>
      </c>
      <c r="F7">
        <v>95363</v>
      </c>
      <c r="G7">
        <v>11</v>
      </c>
      <c r="H7" t="s">
        <v>21</v>
      </c>
      <c r="I7" t="s">
        <v>35</v>
      </c>
      <c r="J7" t="str">
        <f t="shared" si="0"/>
        <v>Missing</v>
      </c>
      <c r="K7" t="str">
        <f t="shared" si="1"/>
        <v>Missing</v>
      </c>
      <c r="L7" t="str">
        <f t="shared" si="2"/>
        <v>Missing</v>
      </c>
      <c r="M7" t="str" cm="1">
        <f t="array" ref="M7">IF(D7="","Missing",_xlfn.IFS(D7&gt;=90,"A",D7&gt;=75,"B",D7&gt;=50,"C",TRUE,"F"))</f>
        <v>Missing</v>
      </c>
    </row>
    <row r="8" spans="1:13" x14ac:dyDescent="0.3">
      <c r="A8">
        <v>2006</v>
      </c>
      <c r="B8" t="s">
        <v>22</v>
      </c>
      <c r="C8" t="s">
        <v>18</v>
      </c>
      <c r="D8" t="s">
        <v>30</v>
      </c>
      <c r="F8" t="s">
        <v>30</v>
      </c>
      <c r="G8">
        <v>12</v>
      </c>
      <c r="H8" t="s">
        <v>23</v>
      </c>
      <c r="I8" t="s">
        <v>36</v>
      </c>
      <c r="J8" t="str">
        <f t="shared" si="0"/>
        <v>Missing</v>
      </c>
      <c r="K8" t="str">
        <f t="shared" si="1"/>
        <v>Missing</v>
      </c>
      <c r="L8" t="str">
        <f t="shared" si="2"/>
        <v>Missing</v>
      </c>
      <c r="M8" t="str" cm="1">
        <f t="array" ref="M8">IF(D8="","Missing",_xlfn.IFS(D8&gt;=90,"A",D8&gt;=75,"B",D8&gt;=50,"C",TRUE,"F"))</f>
        <v>Missing</v>
      </c>
    </row>
    <row r="9" spans="1:13" x14ac:dyDescent="0.3">
      <c r="A9">
        <v>2007</v>
      </c>
      <c r="B9" t="s">
        <v>24</v>
      </c>
      <c r="C9" t="s">
        <v>25</v>
      </c>
      <c r="D9" t="s">
        <v>30</v>
      </c>
      <c r="E9">
        <v>2</v>
      </c>
      <c r="F9" t="s">
        <v>30</v>
      </c>
      <c r="G9">
        <v>4</v>
      </c>
      <c r="H9" t="s">
        <v>19</v>
      </c>
      <c r="I9" t="s">
        <v>37</v>
      </c>
      <c r="J9" t="str">
        <f t="shared" si="0"/>
        <v>Missing</v>
      </c>
      <c r="K9" t="str">
        <f t="shared" si="1"/>
        <v>Missing</v>
      </c>
      <c r="L9" t="str">
        <f t="shared" si="2"/>
        <v>Missing</v>
      </c>
      <c r="M9" t="str" cm="1">
        <f t="array" ref="M9">IF(D9="","Missing",_xlfn.IFS(D9&gt;=90,"A",D9&gt;=75,"B",D9&gt;=50,"C",TRUE,"F"))</f>
        <v>Missing</v>
      </c>
    </row>
    <row r="10" spans="1:13" x14ac:dyDescent="0.3">
      <c r="A10">
        <v>2008</v>
      </c>
      <c r="B10" t="s">
        <v>22</v>
      </c>
      <c r="C10" t="s">
        <v>25</v>
      </c>
      <c r="D10" t="s">
        <v>30</v>
      </c>
      <c r="E10">
        <v>90</v>
      </c>
      <c r="F10" t="s">
        <v>30</v>
      </c>
      <c r="G10">
        <v>10</v>
      </c>
      <c r="H10" t="s">
        <v>19</v>
      </c>
      <c r="I10" t="s">
        <v>36</v>
      </c>
      <c r="J10" t="str">
        <f t="shared" si="0"/>
        <v>Missing</v>
      </c>
      <c r="K10" t="str">
        <f t="shared" si="1"/>
        <v>Missing</v>
      </c>
      <c r="L10" t="str">
        <f t="shared" si="2"/>
        <v>Missing</v>
      </c>
      <c r="M10" t="str" cm="1">
        <f t="array" ref="M10">IF(D10="","Missing",_xlfn.IFS(D10&gt;=90,"A",D10&gt;=75,"B",D10&gt;=50,"C",TRUE,"F"))</f>
        <v>Missing</v>
      </c>
    </row>
    <row r="11" spans="1:13" x14ac:dyDescent="0.3">
      <c r="A11">
        <v>2009</v>
      </c>
      <c r="B11" t="s">
        <v>26</v>
      </c>
      <c r="C11" t="s">
        <v>10</v>
      </c>
      <c r="D11" t="s">
        <v>30</v>
      </c>
      <c r="E11">
        <v>5</v>
      </c>
      <c r="F11">
        <v>51772</v>
      </c>
      <c r="G11">
        <v>3</v>
      </c>
      <c r="H11" t="s">
        <v>21</v>
      </c>
      <c r="I11" t="s">
        <v>38</v>
      </c>
      <c r="J11" t="str">
        <f t="shared" si="0"/>
        <v>Missing</v>
      </c>
      <c r="K11" t="str">
        <f t="shared" si="1"/>
        <v>Missing</v>
      </c>
      <c r="L11" t="str">
        <f t="shared" si="2"/>
        <v>Missing</v>
      </c>
      <c r="M11" t="str" cm="1">
        <f t="array" ref="M11">IF(D11="","Missing",_xlfn.IFS(D11&gt;=90,"A",D11&gt;=75,"B",D11&gt;=50,"C",TRUE,"F"))</f>
        <v>Missing</v>
      </c>
    </row>
    <row r="12" spans="1:13" x14ac:dyDescent="0.3">
      <c r="A12">
        <v>2010</v>
      </c>
      <c r="B12" t="s">
        <v>12</v>
      </c>
      <c r="C12" t="s">
        <v>18</v>
      </c>
      <c r="D12" t="s">
        <v>30</v>
      </c>
      <c r="E12">
        <v>21</v>
      </c>
      <c r="F12" t="s">
        <v>30</v>
      </c>
      <c r="G12">
        <v>6</v>
      </c>
      <c r="H12" t="s">
        <v>21</v>
      </c>
      <c r="I12" t="s">
        <v>32</v>
      </c>
      <c r="J12" t="str">
        <f t="shared" si="0"/>
        <v>Missing</v>
      </c>
      <c r="K12" t="str">
        <f t="shared" si="1"/>
        <v>Missing</v>
      </c>
      <c r="L12" t="str">
        <f t="shared" si="2"/>
        <v>Missing</v>
      </c>
      <c r="M12" t="str" cm="1">
        <f t="array" ref="M12">IF(D12="","Missing",_xlfn.IFS(D12&gt;=90,"A",D12&gt;=75,"B",D12&gt;=50,"C",TRUE,"F"))</f>
        <v>Missing</v>
      </c>
    </row>
    <row r="13" spans="1:13" x14ac:dyDescent="0.3">
      <c r="A13">
        <v>2011</v>
      </c>
      <c r="B13" t="s">
        <v>24</v>
      </c>
      <c r="C13" t="s">
        <v>13</v>
      </c>
      <c r="D13" t="s">
        <v>30</v>
      </c>
      <c r="F13">
        <v>70377</v>
      </c>
      <c r="G13">
        <v>6</v>
      </c>
      <c r="H13" t="s">
        <v>21</v>
      </c>
      <c r="I13" t="s">
        <v>37</v>
      </c>
      <c r="J13" t="str">
        <f t="shared" si="0"/>
        <v>Missing</v>
      </c>
      <c r="K13" t="str">
        <f t="shared" si="1"/>
        <v>Missing</v>
      </c>
      <c r="L13" t="str">
        <f t="shared" si="2"/>
        <v>Missing</v>
      </c>
      <c r="M13" t="str" cm="1">
        <f t="array" ref="M13">IF(D13="","Missing",_xlfn.IFS(D13&gt;=90,"A",D13&gt;=75,"B",D13&gt;=50,"C",TRUE,"F"))</f>
        <v>Missing</v>
      </c>
    </row>
    <row r="14" spans="1:13" x14ac:dyDescent="0.3">
      <c r="A14">
        <v>2012</v>
      </c>
      <c r="B14" t="s">
        <v>27</v>
      </c>
      <c r="C14" t="s">
        <v>18</v>
      </c>
      <c r="D14" t="s">
        <v>30</v>
      </c>
      <c r="F14" t="s">
        <v>30</v>
      </c>
      <c r="G14">
        <v>5</v>
      </c>
      <c r="H14" t="s">
        <v>11</v>
      </c>
      <c r="I14" t="s">
        <v>39</v>
      </c>
      <c r="J14" t="str">
        <f t="shared" si="0"/>
        <v>Missing</v>
      </c>
      <c r="K14" t="str">
        <f t="shared" si="1"/>
        <v>Missing</v>
      </c>
      <c r="L14" t="str">
        <f t="shared" si="2"/>
        <v>Missing</v>
      </c>
      <c r="M14" t="str" cm="1">
        <f t="array" ref="M14">IF(D14="","Missing",_xlfn.IFS(D14&gt;=90,"A",D14&gt;=75,"B",D14&gt;=50,"C",TRUE,"F"))</f>
        <v>Missing</v>
      </c>
    </row>
    <row r="15" spans="1:13" x14ac:dyDescent="0.3">
      <c r="A15">
        <v>2013</v>
      </c>
      <c r="B15" t="s">
        <v>22</v>
      </c>
      <c r="C15" t="s">
        <v>13</v>
      </c>
      <c r="D15" t="s">
        <v>30</v>
      </c>
      <c r="E15">
        <v>21</v>
      </c>
      <c r="F15" t="s">
        <v>30</v>
      </c>
      <c r="G15">
        <v>11</v>
      </c>
      <c r="H15" t="s">
        <v>19</v>
      </c>
      <c r="I15" t="s">
        <v>36</v>
      </c>
      <c r="J15" t="str">
        <f t="shared" si="0"/>
        <v>Missing</v>
      </c>
      <c r="K15" t="str">
        <f t="shared" si="1"/>
        <v>Missing</v>
      </c>
      <c r="L15" t="str">
        <f t="shared" si="2"/>
        <v>Missing</v>
      </c>
      <c r="M15" t="str" cm="1">
        <f t="array" ref="M15">IF(D15="","Missing",_xlfn.IFS(D15&gt;=90,"A",D15&gt;=75,"B",D15&gt;=50,"C",TRUE,"F"))</f>
        <v>Missing</v>
      </c>
    </row>
    <row r="16" spans="1:13" x14ac:dyDescent="0.3">
      <c r="A16">
        <v>2014</v>
      </c>
      <c r="B16" t="s">
        <v>26</v>
      </c>
      <c r="C16" t="s">
        <v>10</v>
      </c>
      <c r="D16" t="s">
        <v>30</v>
      </c>
      <c r="E16">
        <v>89</v>
      </c>
      <c r="F16" t="s">
        <v>30</v>
      </c>
      <c r="G16">
        <v>9</v>
      </c>
      <c r="H16" t="s">
        <v>11</v>
      </c>
      <c r="I16" t="s">
        <v>38</v>
      </c>
      <c r="J16" t="str">
        <f t="shared" si="0"/>
        <v>Missing</v>
      </c>
      <c r="K16" t="str">
        <f t="shared" si="1"/>
        <v>Missing</v>
      </c>
      <c r="L16" t="str">
        <f t="shared" si="2"/>
        <v>Missing</v>
      </c>
      <c r="M16" t="str" cm="1">
        <f t="array" ref="M16">IF(D16="","Missing",_xlfn.IFS(D16&gt;=90,"A",D16&gt;=75,"B",D16&gt;=50,"C",TRUE,"F"))</f>
        <v>Missing</v>
      </c>
    </row>
    <row r="17" spans="1:13" x14ac:dyDescent="0.3">
      <c r="A17">
        <v>2015</v>
      </c>
      <c r="B17" t="s">
        <v>28</v>
      </c>
      <c r="C17" t="s">
        <v>16</v>
      </c>
      <c r="D17">
        <v>74</v>
      </c>
      <c r="E17">
        <v>55</v>
      </c>
      <c r="F17" t="s">
        <v>30</v>
      </c>
      <c r="G17">
        <v>12</v>
      </c>
      <c r="H17" t="s">
        <v>19</v>
      </c>
      <c r="I17" t="s">
        <v>40</v>
      </c>
      <c r="J17" t="str">
        <f t="shared" si="0"/>
        <v>Pass</v>
      </c>
      <c r="K17" t="str">
        <f t="shared" si="1"/>
        <v>Not Eligible</v>
      </c>
      <c r="L17" t="str">
        <f t="shared" si="2"/>
        <v>Normal</v>
      </c>
      <c r="M17" t="str" cm="1">
        <f t="array" ref="M17">IF(D17="","Missing",_xlfn.IFS(D17&gt;=90,"A",D17&gt;=75,"B",D17&gt;=50,"C",TRUE,"F"))</f>
        <v>C</v>
      </c>
    </row>
    <row r="18" spans="1:13" x14ac:dyDescent="0.3">
      <c r="A18">
        <v>2016</v>
      </c>
      <c r="B18" t="s">
        <v>15</v>
      </c>
      <c r="C18" t="s">
        <v>10</v>
      </c>
      <c r="D18">
        <v>52</v>
      </c>
      <c r="F18" t="s">
        <v>30</v>
      </c>
      <c r="G18">
        <v>11</v>
      </c>
      <c r="H18" t="s">
        <v>19</v>
      </c>
      <c r="I18" t="s">
        <v>33</v>
      </c>
      <c r="J18" t="str">
        <f t="shared" si="0"/>
        <v>Pass</v>
      </c>
      <c r="K18" t="str">
        <f t="shared" si="1"/>
        <v>Missing</v>
      </c>
      <c r="L18" t="str">
        <f t="shared" si="2"/>
        <v>Missing</v>
      </c>
      <c r="M18" t="str" cm="1">
        <f t="array" ref="M18">IF(D18="","Missing",_xlfn.IFS(D18&gt;=90,"A",D18&gt;=75,"B",D18&gt;=50,"C",TRUE,"F"))</f>
        <v>C</v>
      </c>
    </row>
    <row r="19" spans="1:13" x14ac:dyDescent="0.3">
      <c r="A19">
        <v>2017</v>
      </c>
      <c r="B19" t="s">
        <v>12</v>
      </c>
      <c r="C19" t="s">
        <v>13</v>
      </c>
      <c r="D19" t="s">
        <v>30</v>
      </c>
      <c r="E19">
        <v>88</v>
      </c>
      <c r="F19" t="s">
        <v>30</v>
      </c>
      <c r="G19">
        <v>12</v>
      </c>
      <c r="H19" t="s">
        <v>21</v>
      </c>
      <c r="I19" t="s">
        <v>32</v>
      </c>
      <c r="J19" t="str">
        <f t="shared" si="0"/>
        <v>Missing</v>
      </c>
      <c r="K19" t="str">
        <f t="shared" si="1"/>
        <v>Missing</v>
      </c>
      <c r="L19" t="str">
        <f t="shared" si="2"/>
        <v>Missing</v>
      </c>
      <c r="M19" t="str" cm="1">
        <f t="array" ref="M19">IF(D19="","Missing",_xlfn.IFS(D19&gt;=90,"A",D19&gt;=75,"B",D19&gt;=50,"C",TRUE,"F"))</f>
        <v>Missing</v>
      </c>
    </row>
    <row r="20" spans="1:13" x14ac:dyDescent="0.3">
      <c r="A20">
        <v>2018</v>
      </c>
      <c r="B20" t="s">
        <v>20</v>
      </c>
      <c r="C20" t="s">
        <v>13</v>
      </c>
      <c r="D20" t="s">
        <v>30</v>
      </c>
      <c r="E20">
        <v>9</v>
      </c>
      <c r="F20">
        <v>68045</v>
      </c>
      <c r="G20">
        <v>0</v>
      </c>
      <c r="H20" t="s">
        <v>19</v>
      </c>
      <c r="I20" t="s">
        <v>35</v>
      </c>
      <c r="J20" t="str">
        <f t="shared" si="0"/>
        <v>Missing</v>
      </c>
      <c r="K20" t="str">
        <f t="shared" si="1"/>
        <v>Missing</v>
      </c>
      <c r="L20" t="str">
        <f t="shared" si="2"/>
        <v>Missing</v>
      </c>
      <c r="M20" t="str" cm="1">
        <f t="array" ref="M20">IF(D20="","Missing",_xlfn.IFS(D20&gt;=90,"A",D20&gt;=75,"B",D20&gt;=50,"C",TRUE,"F"))</f>
        <v>Missing</v>
      </c>
    </row>
    <row r="21" spans="1:13" x14ac:dyDescent="0.3">
      <c r="A21">
        <v>2019</v>
      </c>
      <c r="B21" t="s">
        <v>20</v>
      </c>
      <c r="C21" t="s">
        <v>16</v>
      </c>
      <c r="D21" t="s">
        <v>30</v>
      </c>
      <c r="E21">
        <v>12</v>
      </c>
      <c r="F21">
        <v>22527</v>
      </c>
      <c r="G21">
        <v>2</v>
      </c>
      <c r="H21" t="s">
        <v>11</v>
      </c>
      <c r="I21" t="s">
        <v>35</v>
      </c>
      <c r="J21" t="str">
        <f t="shared" si="0"/>
        <v>Missing</v>
      </c>
      <c r="K21" t="str">
        <f t="shared" si="1"/>
        <v>Missing</v>
      </c>
      <c r="L21" t="str">
        <f t="shared" si="2"/>
        <v>Missing</v>
      </c>
      <c r="M21" t="str" cm="1">
        <f t="array" ref="M21">IF(D21="","Missing",_xlfn.IFS(D21&gt;=90,"A",D21&gt;=75,"B",D21&gt;=50,"C",TRUE,"F"))</f>
        <v>Missing</v>
      </c>
    </row>
    <row r="22" spans="1:13" x14ac:dyDescent="0.3">
      <c r="A22">
        <v>2020</v>
      </c>
      <c r="B22" t="s">
        <v>29</v>
      </c>
      <c r="C22" t="s">
        <v>18</v>
      </c>
      <c r="D22">
        <v>54</v>
      </c>
      <c r="E22">
        <v>19</v>
      </c>
      <c r="F22" t="s">
        <v>30</v>
      </c>
      <c r="G22">
        <v>1</v>
      </c>
      <c r="H22" t="s">
        <v>14</v>
      </c>
      <c r="I22" t="s">
        <v>41</v>
      </c>
      <c r="J22" t="str">
        <f t="shared" si="0"/>
        <v>Pass</v>
      </c>
      <c r="K22" t="str">
        <f t="shared" si="1"/>
        <v>Not Eligible</v>
      </c>
      <c r="L22" t="str">
        <f t="shared" si="2"/>
        <v>Risk</v>
      </c>
      <c r="M22" t="str" cm="1">
        <f t="array" ref="M22">IF(D22="","Missing",_xlfn.IFS(D22&gt;=90,"A",D22&gt;=75,"B",D22&gt;=50,"C",TRUE,"F"))</f>
        <v>C</v>
      </c>
    </row>
    <row r="23" spans="1:13" x14ac:dyDescent="0.3">
      <c r="A23">
        <v>2021</v>
      </c>
      <c r="B23" t="s">
        <v>24</v>
      </c>
      <c r="C23" t="s">
        <v>18</v>
      </c>
      <c r="D23">
        <v>67</v>
      </c>
      <c r="F23" t="s">
        <v>30</v>
      </c>
      <c r="G23">
        <v>5</v>
      </c>
      <c r="H23" t="s">
        <v>21</v>
      </c>
      <c r="I23" t="s">
        <v>37</v>
      </c>
      <c r="J23" t="str">
        <f t="shared" si="0"/>
        <v>Pass</v>
      </c>
      <c r="K23" t="str">
        <f t="shared" si="1"/>
        <v>Missing</v>
      </c>
      <c r="L23" t="str">
        <f t="shared" si="2"/>
        <v>Missing</v>
      </c>
      <c r="M23" t="str" cm="1">
        <f t="array" ref="M23">IF(D23="","Missing",_xlfn.IFS(D23&gt;=90,"A",D23&gt;=75,"B",D23&gt;=50,"C",TRUE,"F"))</f>
        <v>C</v>
      </c>
    </row>
    <row r="24" spans="1:13" x14ac:dyDescent="0.3">
      <c r="A24">
        <v>2022</v>
      </c>
      <c r="B24" t="s">
        <v>28</v>
      </c>
      <c r="C24" t="s">
        <v>25</v>
      </c>
      <c r="D24">
        <v>46</v>
      </c>
      <c r="E24">
        <v>99</v>
      </c>
      <c r="F24">
        <v>66730</v>
      </c>
      <c r="G24">
        <v>11</v>
      </c>
      <c r="H24" t="s">
        <v>23</v>
      </c>
      <c r="I24" t="s">
        <v>40</v>
      </c>
      <c r="J24" t="str">
        <f t="shared" si="0"/>
        <v>Pass</v>
      </c>
      <c r="K24" t="str">
        <f t="shared" si="1"/>
        <v>Eligible</v>
      </c>
      <c r="L24" t="str">
        <f t="shared" si="2"/>
        <v>Normal</v>
      </c>
      <c r="M24" t="str" cm="1">
        <f t="array" ref="M24">IF(D24="","Missing",_xlfn.IFS(D24&gt;=90,"A",D24&gt;=75,"B",D24&gt;=50,"C",TRUE,"F"))</f>
        <v>F</v>
      </c>
    </row>
    <row r="25" spans="1:13" x14ac:dyDescent="0.3">
      <c r="A25">
        <v>2023</v>
      </c>
      <c r="B25" t="s">
        <v>9</v>
      </c>
      <c r="C25" t="s">
        <v>16</v>
      </c>
      <c r="D25">
        <v>70</v>
      </c>
      <c r="F25" t="s">
        <v>30</v>
      </c>
      <c r="G25">
        <v>12</v>
      </c>
      <c r="H25" t="s">
        <v>11</v>
      </c>
      <c r="I25" t="s">
        <v>31</v>
      </c>
      <c r="J25" t="str">
        <f t="shared" si="0"/>
        <v>Pass</v>
      </c>
      <c r="K25" t="str">
        <f t="shared" si="1"/>
        <v>Missing</v>
      </c>
      <c r="L25" t="str">
        <f t="shared" si="2"/>
        <v>Missing</v>
      </c>
      <c r="M25" t="str" cm="1">
        <f t="array" ref="M25">IF(D25="","Missing",_xlfn.IFS(D25&gt;=90,"A",D25&gt;=75,"B",D25&gt;=50,"C",TRUE,"F"))</f>
        <v>C</v>
      </c>
    </row>
    <row r="26" spans="1:13" x14ac:dyDescent="0.3">
      <c r="A26">
        <v>2024</v>
      </c>
      <c r="B26" t="s">
        <v>9</v>
      </c>
      <c r="C26" t="s">
        <v>10</v>
      </c>
      <c r="D26">
        <v>96</v>
      </c>
      <c r="F26" t="s">
        <v>30</v>
      </c>
      <c r="G26">
        <v>10</v>
      </c>
      <c r="H26" t="s">
        <v>19</v>
      </c>
      <c r="I26" t="s">
        <v>31</v>
      </c>
      <c r="J26" t="str">
        <f t="shared" si="0"/>
        <v>Pass</v>
      </c>
      <c r="K26" t="str">
        <f t="shared" si="1"/>
        <v>Missing</v>
      </c>
      <c r="L26" t="str">
        <f t="shared" si="2"/>
        <v>Missing</v>
      </c>
      <c r="M26" t="str" cm="1">
        <f t="array" ref="M26">IF(D26="","Missing",_xlfn.IFS(D26&gt;=90,"A",D26&gt;=75,"B",D26&gt;=50,"C",TRUE,"F"))</f>
        <v>A</v>
      </c>
    </row>
    <row r="27" spans="1:13" x14ac:dyDescent="0.3">
      <c r="A27">
        <v>2025</v>
      </c>
      <c r="B27" t="s">
        <v>28</v>
      </c>
      <c r="C27" t="s">
        <v>18</v>
      </c>
      <c r="D27" t="s">
        <v>30</v>
      </c>
      <c r="F27" t="s">
        <v>30</v>
      </c>
      <c r="G27">
        <v>10</v>
      </c>
      <c r="H27" t="s">
        <v>21</v>
      </c>
      <c r="I27" t="s">
        <v>40</v>
      </c>
      <c r="J27" t="str">
        <f t="shared" si="0"/>
        <v>Missing</v>
      </c>
      <c r="K27" t="str">
        <f t="shared" si="1"/>
        <v>Missing</v>
      </c>
      <c r="L27" t="str">
        <f t="shared" si="2"/>
        <v>Missing</v>
      </c>
      <c r="M27" t="str" cm="1">
        <f t="array" ref="M27">IF(D27="","Missing",_xlfn.IFS(D27&gt;=90,"A",D27&gt;=75,"B",D27&gt;=50,"C",TRUE,"F"))</f>
        <v>Missing</v>
      </c>
    </row>
    <row r="28" spans="1:13" x14ac:dyDescent="0.3">
      <c r="A28">
        <v>2026</v>
      </c>
      <c r="B28" t="s">
        <v>12</v>
      </c>
      <c r="C28" t="s">
        <v>18</v>
      </c>
      <c r="D28">
        <v>94</v>
      </c>
      <c r="E28">
        <v>55</v>
      </c>
      <c r="F28">
        <v>74357</v>
      </c>
      <c r="G28">
        <v>3</v>
      </c>
      <c r="H28" t="s">
        <v>21</v>
      </c>
      <c r="I28" t="s">
        <v>32</v>
      </c>
      <c r="J28" t="str">
        <f t="shared" si="0"/>
        <v>Pass</v>
      </c>
      <c r="K28" t="str">
        <f t="shared" si="1"/>
        <v>Not Eligible</v>
      </c>
      <c r="L28" t="str">
        <f t="shared" si="2"/>
        <v>Normal</v>
      </c>
      <c r="M28" t="str" cm="1">
        <f t="array" ref="M28">IF(D28="","Missing",_xlfn.IFS(D28&gt;=90,"A",D28&gt;=75,"B",D28&gt;=50,"C",TRUE,"F"))</f>
        <v>A</v>
      </c>
    </row>
    <row r="29" spans="1:13" x14ac:dyDescent="0.3">
      <c r="A29">
        <v>2027</v>
      </c>
      <c r="B29" t="s">
        <v>26</v>
      </c>
      <c r="C29" t="s">
        <v>16</v>
      </c>
      <c r="D29">
        <v>40</v>
      </c>
      <c r="E29">
        <v>73</v>
      </c>
      <c r="F29" t="s">
        <v>30</v>
      </c>
      <c r="G29">
        <v>2</v>
      </c>
      <c r="H29" t="s">
        <v>11</v>
      </c>
      <c r="I29" t="s">
        <v>38</v>
      </c>
      <c r="J29" t="str">
        <f t="shared" si="0"/>
        <v>Pass</v>
      </c>
      <c r="K29" t="str">
        <f t="shared" si="1"/>
        <v>Not Eligible</v>
      </c>
      <c r="L29" t="str">
        <f t="shared" si="2"/>
        <v>Normal</v>
      </c>
      <c r="M29" t="str" cm="1">
        <f t="array" ref="M29">IF(D29="","Missing",_xlfn.IFS(D29&gt;=90,"A",D29&gt;=75,"B",D29&gt;=50,"C",TRUE,"F"))</f>
        <v>F</v>
      </c>
    </row>
    <row r="30" spans="1:13" x14ac:dyDescent="0.3">
      <c r="A30">
        <v>2028</v>
      </c>
      <c r="B30" t="s">
        <v>15</v>
      </c>
      <c r="C30" t="s">
        <v>10</v>
      </c>
      <c r="D30" t="s">
        <v>30</v>
      </c>
      <c r="F30" t="s">
        <v>30</v>
      </c>
      <c r="G30">
        <v>10</v>
      </c>
      <c r="H30" t="s">
        <v>19</v>
      </c>
      <c r="I30" t="s">
        <v>33</v>
      </c>
      <c r="J30" t="str">
        <f t="shared" si="0"/>
        <v>Missing</v>
      </c>
      <c r="K30" t="str">
        <f t="shared" si="1"/>
        <v>Missing</v>
      </c>
      <c r="L30" t="str">
        <f t="shared" si="2"/>
        <v>Missing</v>
      </c>
      <c r="M30" t="str" cm="1">
        <f t="array" ref="M30">IF(D30="","Missing",_xlfn.IFS(D30&gt;=90,"A",D30&gt;=75,"B",D30&gt;=50,"C",TRUE,"F"))</f>
        <v>Missing</v>
      </c>
    </row>
    <row r="31" spans="1:13" x14ac:dyDescent="0.3">
      <c r="A31">
        <v>2029</v>
      </c>
      <c r="B31" t="s">
        <v>9</v>
      </c>
      <c r="C31" t="s">
        <v>10</v>
      </c>
      <c r="D31" t="s">
        <v>30</v>
      </c>
      <c r="F31" t="s">
        <v>30</v>
      </c>
      <c r="G31">
        <v>7</v>
      </c>
      <c r="H31" t="s">
        <v>23</v>
      </c>
      <c r="I31" t="s">
        <v>31</v>
      </c>
      <c r="J31" t="str">
        <f t="shared" si="0"/>
        <v>Missing</v>
      </c>
      <c r="K31" t="str">
        <f t="shared" si="1"/>
        <v>Missing</v>
      </c>
      <c r="L31" t="str">
        <f t="shared" si="2"/>
        <v>Missing</v>
      </c>
      <c r="M31" t="str" cm="1">
        <f t="array" ref="M31">IF(D31="","Missing",_xlfn.IFS(D31&gt;=90,"A",D31&gt;=75,"B",D31&gt;=50,"C",TRUE,"F"))</f>
        <v>Missing</v>
      </c>
    </row>
    <row r="32" spans="1:13" x14ac:dyDescent="0.3">
      <c r="A32">
        <v>2030</v>
      </c>
      <c r="B32" t="s">
        <v>26</v>
      </c>
      <c r="C32" t="s">
        <v>13</v>
      </c>
      <c r="D32">
        <v>74</v>
      </c>
      <c r="E32">
        <v>45</v>
      </c>
      <c r="F32" t="s">
        <v>30</v>
      </c>
      <c r="G32">
        <v>11</v>
      </c>
      <c r="H32" t="s">
        <v>21</v>
      </c>
      <c r="I32" t="s">
        <v>38</v>
      </c>
      <c r="J32" t="str">
        <f t="shared" si="0"/>
        <v>Pass</v>
      </c>
      <c r="K32" t="str">
        <f t="shared" si="1"/>
        <v>Not Eligible</v>
      </c>
      <c r="L32" t="str">
        <f t="shared" si="2"/>
        <v>Risk</v>
      </c>
      <c r="M32" t="str" cm="1">
        <f t="array" ref="M32">IF(D32="","Missing",_xlfn.IFS(D32&gt;=90,"A",D32&gt;=75,"B",D32&gt;=50,"C",TRUE,"F"))</f>
        <v>C</v>
      </c>
    </row>
    <row r="33" spans="1:13" x14ac:dyDescent="0.3">
      <c r="A33">
        <v>2031</v>
      </c>
      <c r="B33" t="s">
        <v>12</v>
      </c>
      <c r="C33" t="s">
        <v>10</v>
      </c>
      <c r="D33" t="s">
        <v>30</v>
      </c>
      <c r="F33" t="s">
        <v>30</v>
      </c>
      <c r="G33">
        <v>8</v>
      </c>
      <c r="H33" t="s">
        <v>11</v>
      </c>
      <c r="I33" t="s">
        <v>32</v>
      </c>
      <c r="J33" t="str">
        <f t="shared" si="0"/>
        <v>Missing</v>
      </c>
      <c r="K33" t="str">
        <f t="shared" si="1"/>
        <v>Missing</v>
      </c>
      <c r="L33" t="str">
        <f t="shared" si="2"/>
        <v>Missing</v>
      </c>
      <c r="M33" t="str" cm="1">
        <f t="array" ref="M33">IF(D33="","Missing",_xlfn.IFS(D33&gt;=90,"A",D33&gt;=75,"B",D33&gt;=50,"C",TRUE,"F"))</f>
        <v>Missing</v>
      </c>
    </row>
    <row r="34" spans="1:13" x14ac:dyDescent="0.3">
      <c r="A34">
        <v>2032</v>
      </c>
      <c r="B34" t="s">
        <v>29</v>
      </c>
      <c r="C34" t="s">
        <v>16</v>
      </c>
      <c r="D34" t="s">
        <v>30</v>
      </c>
      <c r="E34">
        <v>59</v>
      </c>
      <c r="F34" t="s">
        <v>30</v>
      </c>
      <c r="G34">
        <v>5</v>
      </c>
      <c r="H34" t="s">
        <v>11</v>
      </c>
      <c r="I34" t="s">
        <v>41</v>
      </c>
      <c r="J34" t="str">
        <f t="shared" si="0"/>
        <v>Missing</v>
      </c>
      <c r="K34" t="str">
        <f t="shared" si="1"/>
        <v>Missing</v>
      </c>
      <c r="L34" t="str">
        <f t="shared" si="2"/>
        <v>Missing</v>
      </c>
      <c r="M34" t="str" cm="1">
        <f t="array" ref="M34">IF(D34="","Missing",_xlfn.IFS(D34&gt;=90,"A",D34&gt;=75,"B",D34&gt;=50,"C",TRUE,"F"))</f>
        <v>Missing</v>
      </c>
    </row>
    <row r="35" spans="1:13" x14ac:dyDescent="0.3">
      <c r="A35">
        <v>2033</v>
      </c>
      <c r="B35" t="s">
        <v>17</v>
      </c>
      <c r="C35" t="s">
        <v>18</v>
      </c>
      <c r="D35" t="s">
        <v>30</v>
      </c>
      <c r="F35" t="s">
        <v>30</v>
      </c>
      <c r="G35">
        <v>4</v>
      </c>
      <c r="H35" t="s">
        <v>23</v>
      </c>
      <c r="I35" t="s">
        <v>34</v>
      </c>
      <c r="J35" t="str">
        <f t="shared" si="0"/>
        <v>Missing</v>
      </c>
      <c r="K35" t="str">
        <f t="shared" si="1"/>
        <v>Missing</v>
      </c>
      <c r="L35" t="str">
        <f t="shared" si="2"/>
        <v>Missing</v>
      </c>
      <c r="M35" t="str" cm="1">
        <f t="array" ref="M35">IF(D35="","Missing",_xlfn.IFS(D35&gt;=90,"A",D35&gt;=75,"B",D35&gt;=50,"C",TRUE,"F"))</f>
        <v>Missing</v>
      </c>
    </row>
    <row r="36" spans="1:13" x14ac:dyDescent="0.3">
      <c r="A36">
        <v>2034</v>
      </c>
      <c r="B36" t="s">
        <v>17</v>
      </c>
      <c r="C36" t="s">
        <v>18</v>
      </c>
      <c r="D36" t="s">
        <v>30</v>
      </c>
      <c r="E36">
        <v>48</v>
      </c>
      <c r="F36" t="s">
        <v>30</v>
      </c>
      <c r="G36">
        <v>3</v>
      </c>
      <c r="H36" t="s">
        <v>14</v>
      </c>
      <c r="I36" t="s">
        <v>34</v>
      </c>
      <c r="J36" t="str">
        <f t="shared" si="0"/>
        <v>Missing</v>
      </c>
      <c r="K36" t="str">
        <f t="shared" si="1"/>
        <v>Missing</v>
      </c>
      <c r="L36" t="str">
        <f t="shared" si="2"/>
        <v>Missing</v>
      </c>
      <c r="M36" t="str" cm="1">
        <f t="array" ref="M36">IF(D36="","Missing",_xlfn.IFS(D36&gt;=90,"A",D36&gt;=75,"B",D36&gt;=50,"C",TRUE,"F"))</f>
        <v>Missing</v>
      </c>
    </row>
    <row r="37" spans="1:13" x14ac:dyDescent="0.3">
      <c r="A37">
        <v>2035</v>
      </c>
      <c r="B37" t="s">
        <v>26</v>
      </c>
      <c r="C37" t="s">
        <v>13</v>
      </c>
      <c r="D37" t="s">
        <v>30</v>
      </c>
      <c r="E37">
        <v>24</v>
      </c>
      <c r="F37" t="s">
        <v>30</v>
      </c>
      <c r="G37">
        <v>7</v>
      </c>
      <c r="H37" t="s">
        <v>19</v>
      </c>
      <c r="I37" t="s">
        <v>38</v>
      </c>
      <c r="J37" t="str">
        <f t="shared" si="0"/>
        <v>Missing</v>
      </c>
      <c r="K37" t="str">
        <f t="shared" si="1"/>
        <v>Missing</v>
      </c>
      <c r="L37" t="str">
        <f t="shared" si="2"/>
        <v>Missing</v>
      </c>
      <c r="M37" t="str" cm="1">
        <f t="array" ref="M37">IF(D37="","Missing",_xlfn.IFS(D37&gt;=90,"A",D37&gt;=75,"B",D37&gt;=50,"C",TRUE,"F"))</f>
        <v>Missing</v>
      </c>
    </row>
    <row r="38" spans="1:13" x14ac:dyDescent="0.3">
      <c r="A38">
        <v>2036</v>
      </c>
      <c r="B38" t="s">
        <v>17</v>
      </c>
      <c r="C38" t="s">
        <v>25</v>
      </c>
      <c r="D38" t="s">
        <v>30</v>
      </c>
      <c r="F38" t="s">
        <v>30</v>
      </c>
      <c r="G38">
        <v>2</v>
      </c>
      <c r="H38" t="s">
        <v>23</v>
      </c>
      <c r="I38" t="s">
        <v>34</v>
      </c>
      <c r="J38" t="str">
        <f t="shared" si="0"/>
        <v>Missing</v>
      </c>
      <c r="K38" t="str">
        <f t="shared" si="1"/>
        <v>Missing</v>
      </c>
      <c r="L38" t="str">
        <f t="shared" si="2"/>
        <v>Missing</v>
      </c>
      <c r="M38" t="str" cm="1">
        <f t="array" ref="M38">IF(D38="","Missing",_xlfn.IFS(D38&gt;=90,"A",D38&gt;=75,"B",D38&gt;=50,"C",TRUE,"F"))</f>
        <v>Missing</v>
      </c>
    </row>
    <row r="39" spans="1:13" x14ac:dyDescent="0.3">
      <c r="A39">
        <v>2037</v>
      </c>
      <c r="B39" t="s">
        <v>12</v>
      </c>
      <c r="C39" t="s">
        <v>10</v>
      </c>
      <c r="D39" t="s">
        <v>30</v>
      </c>
      <c r="E39">
        <v>42</v>
      </c>
      <c r="F39" t="s">
        <v>30</v>
      </c>
      <c r="G39">
        <v>7</v>
      </c>
      <c r="H39" t="s">
        <v>14</v>
      </c>
      <c r="I39" t="s">
        <v>32</v>
      </c>
      <c r="J39" t="str">
        <f t="shared" si="0"/>
        <v>Missing</v>
      </c>
      <c r="K39" t="str">
        <f t="shared" si="1"/>
        <v>Missing</v>
      </c>
      <c r="L39" t="str">
        <f t="shared" si="2"/>
        <v>Missing</v>
      </c>
      <c r="M39" t="str" cm="1">
        <f t="array" ref="M39">IF(D39="","Missing",_xlfn.IFS(D39&gt;=90,"A",D39&gt;=75,"B",D39&gt;=50,"C",TRUE,"F"))</f>
        <v>Missing</v>
      </c>
    </row>
    <row r="40" spans="1:13" x14ac:dyDescent="0.3">
      <c r="A40">
        <v>2038</v>
      </c>
      <c r="B40" t="s">
        <v>22</v>
      </c>
      <c r="C40" t="s">
        <v>25</v>
      </c>
      <c r="D40" t="s">
        <v>30</v>
      </c>
      <c r="E40">
        <v>0</v>
      </c>
      <c r="F40">
        <v>69269</v>
      </c>
      <c r="G40">
        <v>12</v>
      </c>
      <c r="H40" t="s">
        <v>23</v>
      </c>
      <c r="I40" t="s">
        <v>36</v>
      </c>
      <c r="J40" t="str">
        <f t="shared" si="0"/>
        <v>Missing</v>
      </c>
      <c r="K40" t="str">
        <f t="shared" si="1"/>
        <v>Missing</v>
      </c>
      <c r="L40" t="str">
        <f t="shared" si="2"/>
        <v>Missing</v>
      </c>
      <c r="M40" t="str" cm="1">
        <f t="array" ref="M40">IF(D40="","Missing",_xlfn.IFS(D40&gt;=90,"A",D40&gt;=75,"B",D40&gt;=50,"C",TRUE,"F"))</f>
        <v>Missing</v>
      </c>
    </row>
    <row r="41" spans="1:13" x14ac:dyDescent="0.3">
      <c r="A41">
        <v>2039</v>
      </c>
      <c r="B41" t="s">
        <v>20</v>
      </c>
      <c r="C41" t="s">
        <v>18</v>
      </c>
      <c r="D41" t="s">
        <v>30</v>
      </c>
      <c r="F41" t="s">
        <v>30</v>
      </c>
      <c r="G41">
        <v>10</v>
      </c>
      <c r="H41" t="s">
        <v>21</v>
      </c>
      <c r="I41" t="s">
        <v>35</v>
      </c>
      <c r="J41" t="str">
        <f t="shared" si="0"/>
        <v>Missing</v>
      </c>
      <c r="K41" t="str">
        <f t="shared" si="1"/>
        <v>Missing</v>
      </c>
      <c r="L41" t="str">
        <f t="shared" si="2"/>
        <v>Missing</v>
      </c>
      <c r="M41" t="str" cm="1">
        <f t="array" ref="M41">IF(D41="","Missing",_xlfn.IFS(D41&gt;=90,"A",D41&gt;=75,"B",D41&gt;=50,"C",TRUE,"F"))</f>
        <v>Missing</v>
      </c>
    </row>
    <row r="42" spans="1:13" x14ac:dyDescent="0.3">
      <c r="A42">
        <v>2040</v>
      </c>
      <c r="B42" t="s">
        <v>9</v>
      </c>
      <c r="C42" t="s">
        <v>25</v>
      </c>
      <c r="D42" t="s">
        <v>30</v>
      </c>
      <c r="E42">
        <v>18</v>
      </c>
      <c r="F42" t="s">
        <v>30</v>
      </c>
      <c r="G42">
        <v>6</v>
      </c>
      <c r="H42" t="s">
        <v>19</v>
      </c>
      <c r="I42" t="s">
        <v>31</v>
      </c>
      <c r="J42" t="str">
        <f t="shared" si="0"/>
        <v>Missing</v>
      </c>
      <c r="K42" t="str">
        <f t="shared" si="1"/>
        <v>Missing</v>
      </c>
      <c r="L42" t="str">
        <f t="shared" si="2"/>
        <v>Missing</v>
      </c>
      <c r="M42" t="str" cm="1">
        <f t="array" ref="M42">IF(D42="","Missing",_xlfn.IFS(D42&gt;=90,"A",D42&gt;=75,"B",D42&gt;=50,"C",TRUE,"F"))</f>
        <v>Missing</v>
      </c>
    </row>
    <row r="43" spans="1:13" x14ac:dyDescent="0.3">
      <c r="A43">
        <v>2041</v>
      </c>
      <c r="B43" t="s">
        <v>12</v>
      </c>
      <c r="C43" t="s">
        <v>16</v>
      </c>
      <c r="D43" t="s">
        <v>30</v>
      </c>
      <c r="F43" t="s">
        <v>30</v>
      </c>
      <c r="G43">
        <v>10</v>
      </c>
      <c r="H43" t="s">
        <v>14</v>
      </c>
      <c r="I43" t="s">
        <v>32</v>
      </c>
      <c r="J43" t="str">
        <f t="shared" si="0"/>
        <v>Missing</v>
      </c>
      <c r="K43" t="str">
        <f t="shared" si="1"/>
        <v>Missing</v>
      </c>
      <c r="L43" t="str">
        <f t="shared" si="2"/>
        <v>Missing</v>
      </c>
      <c r="M43" t="str" cm="1">
        <f t="array" ref="M43">IF(D43="","Missing",_xlfn.IFS(D43&gt;=90,"A",D43&gt;=75,"B",D43&gt;=50,"C",TRUE,"F"))</f>
        <v>Missing</v>
      </c>
    </row>
    <row r="44" spans="1:13" x14ac:dyDescent="0.3">
      <c r="A44">
        <v>2042</v>
      </c>
      <c r="B44" t="s">
        <v>28</v>
      </c>
      <c r="C44" t="s">
        <v>18</v>
      </c>
      <c r="D44">
        <v>50</v>
      </c>
      <c r="E44">
        <v>9</v>
      </c>
      <c r="F44">
        <v>95000</v>
      </c>
      <c r="G44">
        <v>7</v>
      </c>
      <c r="H44" t="s">
        <v>11</v>
      </c>
      <c r="I44" t="s">
        <v>40</v>
      </c>
      <c r="J44" t="str">
        <f t="shared" si="0"/>
        <v>Pass</v>
      </c>
      <c r="K44" t="str">
        <f t="shared" si="1"/>
        <v>Not Eligible</v>
      </c>
      <c r="L44" t="str">
        <f t="shared" si="2"/>
        <v>Risk</v>
      </c>
      <c r="M44" t="str" cm="1">
        <f t="array" ref="M44">IF(D44="","Missing",_xlfn.IFS(D44&gt;=90,"A",D44&gt;=75,"B",D44&gt;=50,"C",TRUE,"F"))</f>
        <v>C</v>
      </c>
    </row>
    <row r="45" spans="1:13" x14ac:dyDescent="0.3">
      <c r="A45">
        <v>2043</v>
      </c>
      <c r="B45" t="s">
        <v>27</v>
      </c>
      <c r="C45" t="s">
        <v>18</v>
      </c>
      <c r="D45" t="s">
        <v>30</v>
      </c>
      <c r="E45">
        <v>91</v>
      </c>
      <c r="F45">
        <v>93509</v>
      </c>
      <c r="G45">
        <v>4</v>
      </c>
      <c r="H45" t="s">
        <v>14</v>
      </c>
      <c r="I45" t="s">
        <v>39</v>
      </c>
      <c r="J45" t="str">
        <f t="shared" si="0"/>
        <v>Missing</v>
      </c>
      <c r="K45" t="str">
        <f t="shared" si="1"/>
        <v>Missing</v>
      </c>
      <c r="L45" t="str">
        <f t="shared" si="2"/>
        <v>Missing</v>
      </c>
      <c r="M45" t="str" cm="1">
        <f t="array" ref="M45">IF(D45="","Missing",_xlfn.IFS(D45&gt;=90,"A",D45&gt;=75,"B",D45&gt;=50,"C",TRUE,"F"))</f>
        <v>Missing</v>
      </c>
    </row>
    <row r="46" spans="1:13" x14ac:dyDescent="0.3">
      <c r="A46">
        <v>2044</v>
      </c>
      <c r="B46" t="s">
        <v>29</v>
      </c>
      <c r="C46" t="s">
        <v>18</v>
      </c>
      <c r="D46" t="s">
        <v>30</v>
      </c>
      <c r="E46">
        <v>67</v>
      </c>
      <c r="F46" t="s">
        <v>30</v>
      </c>
      <c r="G46">
        <v>0</v>
      </c>
      <c r="H46" t="s">
        <v>23</v>
      </c>
      <c r="I46" t="s">
        <v>41</v>
      </c>
      <c r="J46" t="str">
        <f t="shared" si="0"/>
        <v>Missing</v>
      </c>
      <c r="K46" t="str">
        <f t="shared" si="1"/>
        <v>Missing</v>
      </c>
      <c r="L46" t="str">
        <f t="shared" si="2"/>
        <v>Missing</v>
      </c>
      <c r="M46" t="str" cm="1">
        <f t="array" ref="M46">IF(D46="","Missing",_xlfn.IFS(D46&gt;=90,"A",D46&gt;=75,"B",D46&gt;=50,"C",TRUE,"F"))</f>
        <v>Missing</v>
      </c>
    </row>
    <row r="47" spans="1:13" x14ac:dyDescent="0.3">
      <c r="A47">
        <v>2045</v>
      </c>
      <c r="B47" t="s">
        <v>26</v>
      </c>
      <c r="C47" t="s">
        <v>10</v>
      </c>
      <c r="D47" t="s">
        <v>30</v>
      </c>
      <c r="F47" t="s">
        <v>30</v>
      </c>
      <c r="G47">
        <v>12</v>
      </c>
      <c r="H47" t="s">
        <v>21</v>
      </c>
      <c r="I47" t="s">
        <v>38</v>
      </c>
      <c r="J47" t="str">
        <f t="shared" si="0"/>
        <v>Missing</v>
      </c>
      <c r="K47" t="str">
        <f t="shared" si="1"/>
        <v>Missing</v>
      </c>
      <c r="L47" t="str">
        <f t="shared" si="2"/>
        <v>Missing</v>
      </c>
      <c r="M47" t="str" cm="1">
        <f t="array" ref="M47">IF(D47="","Missing",_xlfn.IFS(D47&gt;=90,"A",D47&gt;=75,"B",D47&gt;=50,"C",TRUE,"F"))</f>
        <v>Missing</v>
      </c>
    </row>
    <row r="48" spans="1:13" x14ac:dyDescent="0.3">
      <c r="A48">
        <v>2046</v>
      </c>
      <c r="B48" t="s">
        <v>27</v>
      </c>
      <c r="C48" t="s">
        <v>16</v>
      </c>
      <c r="D48" t="s">
        <v>30</v>
      </c>
      <c r="F48" t="s">
        <v>30</v>
      </c>
      <c r="G48">
        <v>0</v>
      </c>
      <c r="H48" t="s">
        <v>19</v>
      </c>
      <c r="I48" t="s">
        <v>39</v>
      </c>
      <c r="J48" t="str">
        <f t="shared" si="0"/>
        <v>Missing</v>
      </c>
      <c r="K48" t="str">
        <f t="shared" si="1"/>
        <v>Missing</v>
      </c>
      <c r="L48" t="str">
        <f t="shared" si="2"/>
        <v>Missing</v>
      </c>
      <c r="M48" t="str" cm="1">
        <f t="array" ref="M48">IF(D48="","Missing",_xlfn.IFS(D48&gt;=90,"A",D48&gt;=75,"B",D48&gt;=50,"C",TRUE,"F"))</f>
        <v>Missing</v>
      </c>
    </row>
    <row r="49" spans="1:13" x14ac:dyDescent="0.3">
      <c r="A49">
        <v>2047</v>
      </c>
      <c r="B49" t="s">
        <v>29</v>
      </c>
      <c r="C49" t="s">
        <v>25</v>
      </c>
      <c r="D49" t="s">
        <v>30</v>
      </c>
      <c r="E49">
        <v>14</v>
      </c>
      <c r="F49" t="s">
        <v>30</v>
      </c>
      <c r="G49">
        <v>11</v>
      </c>
      <c r="H49" t="s">
        <v>11</v>
      </c>
      <c r="I49" t="s">
        <v>41</v>
      </c>
      <c r="J49" t="str">
        <f t="shared" si="0"/>
        <v>Missing</v>
      </c>
      <c r="K49" t="str">
        <f t="shared" si="1"/>
        <v>Missing</v>
      </c>
      <c r="L49" t="str">
        <f t="shared" si="2"/>
        <v>Missing</v>
      </c>
      <c r="M49" t="str" cm="1">
        <f t="array" ref="M49">IF(D49="","Missing",_xlfn.IFS(D49&gt;=90,"A",D49&gt;=75,"B",D49&gt;=50,"C",TRUE,"F"))</f>
        <v>Missing</v>
      </c>
    </row>
    <row r="50" spans="1:13" x14ac:dyDescent="0.3">
      <c r="A50">
        <v>2048</v>
      </c>
      <c r="B50" t="s">
        <v>12</v>
      </c>
      <c r="C50" t="s">
        <v>16</v>
      </c>
      <c r="D50" t="s">
        <v>30</v>
      </c>
      <c r="E50">
        <v>27</v>
      </c>
      <c r="F50">
        <v>53795</v>
      </c>
      <c r="G50">
        <v>7</v>
      </c>
      <c r="H50" t="s">
        <v>14</v>
      </c>
      <c r="I50" t="s">
        <v>32</v>
      </c>
      <c r="J50" t="str">
        <f t="shared" si="0"/>
        <v>Missing</v>
      </c>
      <c r="K50" t="str">
        <f t="shared" si="1"/>
        <v>Missing</v>
      </c>
      <c r="L50" t="str">
        <f t="shared" si="2"/>
        <v>Missing</v>
      </c>
      <c r="M50" t="str" cm="1">
        <f t="array" ref="M50">IF(D50="","Missing",_xlfn.IFS(D50&gt;=90,"A",D50&gt;=75,"B",D50&gt;=50,"C",TRUE,"F"))</f>
        <v>Missing</v>
      </c>
    </row>
    <row r="51" spans="1:13" x14ac:dyDescent="0.3">
      <c r="A51">
        <v>2049</v>
      </c>
      <c r="B51" t="s">
        <v>20</v>
      </c>
      <c r="C51" t="s">
        <v>18</v>
      </c>
      <c r="D51" t="s">
        <v>30</v>
      </c>
      <c r="F51" t="s">
        <v>30</v>
      </c>
      <c r="G51">
        <v>4</v>
      </c>
      <c r="H51" t="s">
        <v>14</v>
      </c>
      <c r="I51" t="s">
        <v>35</v>
      </c>
      <c r="J51" t="str">
        <f t="shared" si="0"/>
        <v>Missing</v>
      </c>
      <c r="K51" t="str">
        <f t="shared" si="1"/>
        <v>Missing</v>
      </c>
      <c r="L51" t="str">
        <f t="shared" si="2"/>
        <v>Missing</v>
      </c>
      <c r="M51" t="str" cm="1">
        <f t="array" ref="M51">IF(D51="","Missing",_xlfn.IFS(D51&gt;=90,"A",D51&gt;=75,"B",D51&gt;=50,"C",TRUE,"F"))</f>
        <v>Missing</v>
      </c>
    </row>
    <row r="52" spans="1:13" x14ac:dyDescent="0.3">
      <c r="A52">
        <v>2050</v>
      </c>
      <c r="B52" t="s">
        <v>12</v>
      </c>
      <c r="C52" t="s">
        <v>25</v>
      </c>
      <c r="D52" t="s">
        <v>30</v>
      </c>
      <c r="F52">
        <v>65965</v>
      </c>
      <c r="G52">
        <v>3</v>
      </c>
      <c r="H52" t="s">
        <v>21</v>
      </c>
      <c r="I52" t="s">
        <v>32</v>
      </c>
      <c r="J52" t="str">
        <f t="shared" si="0"/>
        <v>Missing</v>
      </c>
      <c r="K52" t="str">
        <f t="shared" si="1"/>
        <v>Missing</v>
      </c>
      <c r="L52" t="str">
        <f t="shared" si="2"/>
        <v>Missing</v>
      </c>
      <c r="M52" t="str" cm="1">
        <f t="array" ref="M52">IF(D52="","Missing",_xlfn.IFS(D52&gt;=90,"A",D52&gt;=75,"B",D52&gt;=50,"C",TRUE,"F"))</f>
        <v>Missing</v>
      </c>
    </row>
    <row r="53" spans="1:13" x14ac:dyDescent="0.3">
      <c r="A53">
        <v>2051</v>
      </c>
      <c r="B53" t="s">
        <v>29</v>
      </c>
      <c r="C53" t="s">
        <v>16</v>
      </c>
      <c r="D53" t="s">
        <v>30</v>
      </c>
      <c r="F53" t="s">
        <v>30</v>
      </c>
      <c r="G53">
        <v>7</v>
      </c>
      <c r="H53" t="s">
        <v>11</v>
      </c>
      <c r="I53" t="s">
        <v>41</v>
      </c>
      <c r="J53" t="str">
        <f t="shared" si="0"/>
        <v>Missing</v>
      </c>
      <c r="K53" t="str">
        <f t="shared" si="1"/>
        <v>Missing</v>
      </c>
      <c r="L53" t="str">
        <f t="shared" si="2"/>
        <v>Missing</v>
      </c>
      <c r="M53" t="str" cm="1">
        <f t="array" ref="M53">IF(D53="","Missing",_xlfn.IFS(D53&gt;=90,"A",D53&gt;=75,"B",D53&gt;=50,"C",TRUE,"F"))</f>
        <v>Missing</v>
      </c>
    </row>
    <row r="54" spans="1:13" x14ac:dyDescent="0.3">
      <c r="A54">
        <v>2052</v>
      </c>
      <c r="B54" t="s">
        <v>17</v>
      </c>
      <c r="C54" t="s">
        <v>18</v>
      </c>
      <c r="D54" t="s">
        <v>30</v>
      </c>
      <c r="F54">
        <v>73036</v>
      </c>
      <c r="G54">
        <v>8</v>
      </c>
      <c r="H54" t="s">
        <v>14</v>
      </c>
      <c r="I54" t="s">
        <v>34</v>
      </c>
      <c r="J54" t="str">
        <f t="shared" si="0"/>
        <v>Missing</v>
      </c>
      <c r="K54" t="str">
        <f t="shared" si="1"/>
        <v>Missing</v>
      </c>
      <c r="L54" t="str">
        <f t="shared" si="2"/>
        <v>Missing</v>
      </c>
      <c r="M54" t="str" cm="1">
        <f t="array" ref="M54">IF(D54="","Missing",_xlfn.IFS(D54&gt;=90,"A",D54&gt;=75,"B",D54&gt;=50,"C",TRUE,"F"))</f>
        <v>Missing</v>
      </c>
    </row>
    <row r="55" spans="1:13" x14ac:dyDescent="0.3">
      <c r="A55">
        <v>2053</v>
      </c>
      <c r="B55" t="s">
        <v>12</v>
      </c>
      <c r="C55" t="s">
        <v>10</v>
      </c>
      <c r="D55" t="s">
        <v>30</v>
      </c>
      <c r="F55">
        <v>83922</v>
      </c>
      <c r="G55">
        <v>0</v>
      </c>
      <c r="H55" t="s">
        <v>21</v>
      </c>
      <c r="I55" t="s">
        <v>32</v>
      </c>
      <c r="J55" t="str">
        <f t="shared" si="0"/>
        <v>Missing</v>
      </c>
      <c r="K55" t="str">
        <f t="shared" si="1"/>
        <v>Missing</v>
      </c>
      <c r="L55" t="str">
        <f t="shared" si="2"/>
        <v>Missing</v>
      </c>
      <c r="M55" t="str" cm="1">
        <f t="array" ref="M55">IF(D55="","Missing",_xlfn.IFS(D55&gt;=90,"A",D55&gt;=75,"B",D55&gt;=50,"C",TRUE,"F"))</f>
        <v>Missing</v>
      </c>
    </row>
    <row r="56" spans="1:13" x14ac:dyDescent="0.3">
      <c r="A56">
        <v>2054</v>
      </c>
      <c r="B56" t="s">
        <v>27</v>
      </c>
      <c r="C56" t="s">
        <v>16</v>
      </c>
      <c r="D56" t="s">
        <v>30</v>
      </c>
      <c r="E56">
        <v>8</v>
      </c>
      <c r="F56" t="s">
        <v>30</v>
      </c>
      <c r="G56">
        <v>10</v>
      </c>
      <c r="H56" t="s">
        <v>21</v>
      </c>
      <c r="I56" t="s">
        <v>39</v>
      </c>
      <c r="J56" t="str">
        <f t="shared" si="0"/>
        <v>Missing</v>
      </c>
      <c r="K56" t="str">
        <f t="shared" si="1"/>
        <v>Missing</v>
      </c>
      <c r="L56" t="str">
        <f t="shared" si="2"/>
        <v>Missing</v>
      </c>
      <c r="M56" t="str" cm="1">
        <f t="array" ref="M56">IF(D56="","Missing",_xlfn.IFS(D56&gt;=90,"A",D56&gt;=75,"B",D56&gt;=50,"C",TRUE,"F"))</f>
        <v>Missing</v>
      </c>
    </row>
    <row r="57" spans="1:13" x14ac:dyDescent="0.3">
      <c r="A57">
        <v>2055</v>
      </c>
      <c r="B57" t="s">
        <v>12</v>
      </c>
      <c r="C57" t="s">
        <v>16</v>
      </c>
      <c r="D57" t="s">
        <v>30</v>
      </c>
      <c r="E57">
        <v>41</v>
      </c>
      <c r="F57" t="s">
        <v>30</v>
      </c>
      <c r="G57">
        <v>1</v>
      </c>
      <c r="H57" t="s">
        <v>21</v>
      </c>
      <c r="I57" t="s">
        <v>32</v>
      </c>
      <c r="J57" t="str">
        <f t="shared" si="0"/>
        <v>Missing</v>
      </c>
      <c r="K57" t="str">
        <f t="shared" si="1"/>
        <v>Missing</v>
      </c>
      <c r="L57" t="str">
        <f t="shared" si="2"/>
        <v>Missing</v>
      </c>
      <c r="M57" t="str" cm="1">
        <f t="array" ref="M57">IF(D57="","Missing",_xlfn.IFS(D57&gt;=90,"A",D57&gt;=75,"B",D57&gt;=50,"C",TRUE,"F"))</f>
        <v>Missing</v>
      </c>
    </row>
    <row r="58" spans="1:13" x14ac:dyDescent="0.3">
      <c r="A58">
        <v>2056</v>
      </c>
      <c r="B58" t="s">
        <v>27</v>
      </c>
      <c r="C58" t="s">
        <v>16</v>
      </c>
      <c r="D58" t="s">
        <v>30</v>
      </c>
      <c r="E58">
        <v>23</v>
      </c>
      <c r="F58" t="s">
        <v>30</v>
      </c>
      <c r="G58">
        <v>3</v>
      </c>
      <c r="H58" t="s">
        <v>11</v>
      </c>
      <c r="I58" t="s">
        <v>39</v>
      </c>
      <c r="J58" t="str">
        <f t="shared" si="0"/>
        <v>Missing</v>
      </c>
      <c r="K58" t="str">
        <f t="shared" si="1"/>
        <v>Missing</v>
      </c>
      <c r="L58" t="str">
        <f t="shared" si="2"/>
        <v>Missing</v>
      </c>
      <c r="M58" t="str" cm="1">
        <f t="array" ref="M58">IF(D58="","Missing",_xlfn.IFS(D58&gt;=90,"A",D58&gt;=75,"B",D58&gt;=50,"C",TRUE,"F"))</f>
        <v>Missing</v>
      </c>
    </row>
    <row r="59" spans="1:13" x14ac:dyDescent="0.3">
      <c r="A59">
        <v>2057</v>
      </c>
      <c r="B59" t="s">
        <v>29</v>
      </c>
      <c r="C59" t="s">
        <v>13</v>
      </c>
      <c r="D59" t="s">
        <v>30</v>
      </c>
      <c r="E59">
        <v>11</v>
      </c>
      <c r="F59" t="s">
        <v>30</v>
      </c>
      <c r="G59">
        <v>8</v>
      </c>
      <c r="H59" t="s">
        <v>11</v>
      </c>
      <c r="I59" t="s">
        <v>41</v>
      </c>
      <c r="J59" t="str">
        <f t="shared" si="0"/>
        <v>Missing</v>
      </c>
      <c r="K59" t="str">
        <f t="shared" si="1"/>
        <v>Missing</v>
      </c>
      <c r="L59" t="str">
        <f t="shared" si="2"/>
        <v>Missing</v>
      </c>
      <c r="M59" t="str" cm="1">
        <f t="array" ref="M59">IF(D59="","Missing",_xlfn.IFS(D59&gt;=90,"A",D59&gt;=75,"B",D59&gt;=50,"C",TRUE,"F"))</f>
        <v>Missing</v>
      </c>
    </row>
    <row r="60" spans="1:13" x14ac:dyDescent="0.3">
      <c r="A60">
        <v>2058</v>
      </c>
      <c r="B60" t="s">
        <v>26</v>
      </c>
      <c r="C60" t="s">
        <v>16</v>
      </c>
      <c r="D60" t="s">
        <v>30</v>
      </c>
      <c r="E60">
        <v>30</v>
      </c>
      <c r="F60" t="s">
        <v>30</v>
      </c>
      <c r="G60">
        <v>7</v>
      </c>
      <c r="H60" t="s">
        <v>23</v>
      </c>
      <c r="I60" t="s">
        <v>38</v>
      </c>
      <c r="J60" t="str">
        <f t="shared" si="0"/>
        <v>Missing</v>
      </c>
      <c r="K60" t="str">
        <f t="shared" si="1"/>
        <v>Missing</v>
      </c>
      <c r="L60" t="str">
        <f t="shared" si="2"/>
        <v>Missing</v>
      </c>
      <c r="M60" t="str" cm="1">
        <f t="array" ref="M60">IF(D60="","Missing",_xlfn.IFS(D60&gt;=90,"A",D60&gt;=75,"B",D60&gt;=50,"C",TRUE,"F"))</f>
        <v>Missing</v>
      </c>
    </row>
    <row r="61" spans="1:13" x14ac:dyDescent="0.3">
      <c r="A61">
        <v>2059</v>
      </c>
      <c r="B61" t="s">
        <v>9</v>
      </c>
      <c r="C61" t="s">
        <v>13</v>
      </c>
      <c r="D61">
        <v>60</v>
      </c>
      <c r="E61">
        <v>57</v>
      </c>
      <c r="F61">
        <v>37027</v>
      </c>
      <c r="G61">
        <v>6</v>
      </c>
      <c r="H61" t="s">
        <v>14</v>
      </c>
      <c r="I61" t="s">
        <v>31</v>
      </c>
      <c r="J61" t="str">
        <f t="shared" si="0"/>
        <v>Pass</v>
      </c>
      <c r="K61" t="str">
        <f t="shared" si="1"/>
        <v>Not Eligible</v>
      </c>
      <c r="L61" t="str">
        <f t="shared" si="2"/>
        <v>Normal</v>
      </c>
      <c r="M61" t="str" cm="1">
        <f t="array" ref="M61">IF(D61="","Missing",_xlfn.IFS(D61&gt;=90,"A",D61&gt;=75,"B",D61&gt;=50,"C",TRUE,"F"))</f>
        <v>C</v>
      </c>
    </row>
    <row r="62" spans="1:13" x14ac:dyDescent="0.3">
      <c r="A62">
        <v>2060</v>
      </c>
      <c r="B62" t="s">
        <v>28</v>
      </c>
      <c r="C62" t="s">
        <v>25</v>
      </c>
      <c r="D62" t="s">
        <v>30</v>
      </c>
      <c r="E62">
        <v>29</v>
      </c>
      <c r="F62" t="s">
        <v>30</v>
      </c>
      <c r="G62">
        <v>5</v>
      </c>
      <c r="H62" t="s">
        <v>11</v>
      </c>
      <c r="I62" t="s">
        <v>40</v>
      </c>
      <c r="J62" t="str">
        <f t="shared" si="0"/>
        <v>Missing</v>
      </c>
      <c r="K62" t="str">
        <f t="shared" si="1"/>
        <v>Missing</v>
      </c>
      <c r="L62" t="str">
        <f t="shared" si="2"/>
        <v>Missing</v>
      </c>
      <c r="M62" t="str" cm="1">
        <f t="array" ref="M62">IF(D62="","Missing",_xlfn.IFS(D62&gt;=90,"A",D62&gt;=75,"B",D62&gt;=50,"C",TRUE,"F"))</f>
        <v>Missing</v>
      </c>
    </row>
    <row r="63" spans="1:13" x14ac:dyDescent="0.3">
      <c r="A63">
        <v>2061</v>
      </c>
      <c r="B63" t="s">
        <v>24</v>
      </c>
      <c r="C63" t="s">
        <v>25</v>
      </c>
      <c r="D63" t="s">
        <v>30</v>
      </c>
      <c r="E63">
        <v>68</v>
      </c>
      <c r="F63">
        <v>77975</v>
      </c>
      <c r="G63">
        <v>11</v>
      </c>
      <c r="H63" t="s">
        <v>14</v>
      </c>
      <c r="I63" t="s">
        <v>37</v>
      </c>
      <c r="J63" t="str">
        <f t="shared" si="0"/>
        <v>Missing</v>
      </c>
      <c r="K63" t="str">
        <f t="shared" si="1"/>
        <v>Missing</v>
      </c>
      <c r="L63" t="str">
        <f t="shared" si="2"/>
        <v>Missing</v>
      </c>
      <c r="M63" t="str" cm="1">
        <f t="array" ref="M63">IF(D63="","Missing",_xlfn.IFS(D63&gt;=90,"A",D63&gt;=75,"B",D63&gt;=50,"C",TRUE,"F"))</f>
        <v>Missing</v>
      </c>
    </row>
    <row r="64" spans="1:13" x14ac:dyDescent="0.3">
      <c r="A64">
        <v>2062</v>
      </c>
      <c r="B64" t="s">
        <v>24</v>
      </c>
      <c r="C64" t="s">
        <v>13</v>
      </c>
      <c r="D64" t="s">
        <v>30</v>
      </c>
      <c r="E64">
        <v>90</v>
      </c>
      <c r="F64" t="s">
        <v>30</v>
      </c>
      <c r="G64">
        <v>1</v>
      </c>
      <c r="H64" t="s">
        <v>14</v>
      </c>
      <c r="I64" t="s">
        <v>37</v>
      </c>
      <c r="J64" t="str">
        <f t="shared" si="0"/>
        <v>Missing</v>
      </c>
      <c r="K64" t="str">
        <f t="shared" si="1"/>
        <v>Missing</v>
      </c>
      <c r="L64" t="str">
        <f t="shared" si="2"/>
        <v>Missing</v>
      </c>
      <c r="M64" t="str" cm="1">
        <f t="array" ref="M64">IF(D64="","Missing",_xlfn.IFS(D64&gt;=90,"A",D64&gt;=75,"B",D64&gt;=50,"C",TRUE,"F"))</f>
        <v>Missing</v>
      </c>
    </row>
    <row r="65" spans="1:13" x14ac:dyDescent="0.3">
      <c r="A65">
        <v>2063</v>
      </c>
      <c r="B65" t="s">
        <v>29</v>
      </c>
      <c r="C65" t="s">
        <v>16</v>
      </c>
      <c r="D65" t="s">
        <v>30</v>
      </c>
      <c r="E65">
        <v>55</v>
      </c>
      <c r="F65">
        <v>41050</v>
      </c>
      <c r="G65">
        <v>12</v>
      </c>
      <c r="H65" t="s">
        <v>14</v>
      </c>
      <c r="I65" t="s">
        <v>41</v>
      </c>
      <c r="J65" t="str">
        <f t="shared" si="0"/>
        <v>Missing</v>
      </c>
      <c r="K65" t="str">
        <f t="shared" si="1"/>
        <v>Missing</v>
      </c>
      <c r="L65" t="str">
        <f t="shared" si="2"/>
        <v>Missing</v>
      </c>
      <c r="M65" t="str" cm="1">
        <f t="array" ref="M65">IF(D65="","Missing",_xlfn.IFS(D65&gt;=90,"A",D65&gt;=75,"B",D65&gt;=50,"C",TRUE,"F"))</f>
        <v>Missing</v>
      </c>
    </row>
    <row r="66" spans="1:13" x14ac:dyDescent="0.3">
      <c r="A66">
        <v>2064</v>
      </c>
      <c r="B66" t="s">
        <v>20</v>
      </c>
      <c r="C66" t="s">
        <v>10</v>
      </c>
      <c r="D66" t="s">
        <v>30</v>
      </c>
      <c r="E66">
        <v>1</v>
      </c>
      <c r="F66">
        <v>71164</v>
      </c>
      <c r="G66">
        <v>5</v>
      </c>
      <c r="H66" t="s">
        <v>14</v>
      </c>
      <c r="I66" t="s">
        <v>35</v>
      </c>
      <c r="J66" t="str">
        <f t="shared" si="0"/>
        <v>Missing</v>
      </c>
      <c r="K66" t="str">
        <f t="shared" si="1"/>
        <v>Missing</v>
      </c>
      <c r="L66" t="str">
        <f t="shared" si="2"/>
        <v>Missing</v>
      </c>
      <c r="M66" t="str" cm="1">
        <f t="array" ref="M66">IF(D66="","Missing",_xlfn.IFS(D66&gt;=90,"A",D66&gt;=75,"B",D66&gt;=50,"C",TRUE,"F"))</f>
        <v>Missing</v>
      </c>
    </row>
    <row r="67" spans="1:13" x14ac:dyDescent="0.3">
      <c r="A67">
        <v>2065</v>
      </c>
      <c r="B67" t="s">
        <v>24</v>
      </c>
      <c r="C67" t="s">
        <v>25</v>
      </c>
      <c r="D67">
        <v>70</v>
      </c>
      <c r="E67">
        <v>8</v>
      </c>
      <c r="F67">
        <v>20502</v>
      </c>
      <c r="G67">
        <v>2</v>
      </c>
      <c r="H67" t="s">
        <v>21</v>
      </c>
      <c r="I67" t="s">
        <v>37</v>
      </c>
      <c r="J67" t="str">
        <f t="shared" ref="J67:J130" si="3">IF(D67="","Missing",IF(D67&gt;=40,"Pass","Fail"))</f>
        <v>Pass</v>
      </c>
      <c r="K67" t="str">
        <f t="shared" ref="K67:K130" si="4">IF(OR(D67="",E67=""),"Missing",IF(AND(D67&gt;=40,E67&gt;=75),"Eligible","Not Eligible"))</f>
        <v>Not Eligible</v>
      </c>
      <c r="L67" t="str">
        <f t="shared" ref="L67:L130" si="5">IF(OR(D67="",E67=""),"Missing",IF(OR(D67&lt;30,E67&lt;50),"Risk","Normal"))</f>
        <v>Risk</v>
      </c>
      <c r="M67" t="str" cm="1">
        <f t="array" ref="M67">IF(D67="","Missing",_xlfn.IFS(D67&gt;=90,"A",D67&gt;=75,"B",D67&gt;=50,"C",TRUE,"F"))</f>
        <v>C</v>
      </c>
    </row>
    <row r="68" spans="1:13" x14ac:dyDescent="0.3">
      <c r="A68">
        <v>2066</v>
      </c>
      <c r="B68" t="s">
        <v>29</v>
      </c>
      <c r="C68" t="s">
        <v>10</v>
      </c>
      <c r="D68" t="s">
        <v>30</v>
      </c>
      <c r="F68" t="s">
        <v>30</v>
      </c>
      <c r="G68">
        <v>5</v>
      </c>
      <c r="H68" t="s">
        <v>11</v>
      </c>
      <c r="I68" t="s">
        <v>41</v>
      </c>
      <c r="J68" t="str">
        <f t="shared" si="3"/>
        <v>Missing</v>
      </c>
      <c r="K68" t="str">
        <f t="shared" si="4"/>
        <v>Missing</v>
      </c>
      <c r="L68" t="str">
        <f t="shared" si="5"/>
        <v>Missing</v>
      </c>
      <c r="M68" t="str" cm="1">
        <f t="array" ref="M68">IF(D68="","Missing",_xlfn.IFS(D68&gt;=90,"A",D68&gt;=75,"B",D68&gt;=50,"C",TRUE,"F"))</f>
        <v>Missing</v>
      </c>
    </row>
    <row r="69" spans="1:13" x14ac:dyDescent="0.3">
      <c r="A69">
        <v>2067</v>
      </c>
      <c r="B69" t="s">
        <v>12</v>
      </c>
      <c r="C69" t="s">
        <v>25</v>
      </c>
      <c r="D69" t="s">
        <v>30</v>
      </c>
      <c r="E69">
        <v>40</v>
      </c>
      <c r="F69">
        <v>30192</v>
      </c>
      <c r="G69">
        <v>3</v>
      </c>
      <c r="H69" t="s">
        <v>11</v>
      </c>
      <c r="I69" t="s">
        <v>32</v>
      </c>
      <c r="J69" t="str">
        <f t="shared" si="3"/>
        <v>Missing</v>
      </c>
      <c r="K69" t="str">
        <f t="shared" si="4"/>
        <v>Missing</v>
      </c>
      <c r="L69" t="str">
        <f t="shared" si="5"/>
        <v>Missing</v>
      </c>
      <c r="M69" t="str" cm="1">
        <f t="array" ref="M69">IF(D69="","Missing",_xlfn.IFS(D69&gt;=90,"A",D69&gt;=75,"B",D69&gt;=50,"C",TRUE,"F"))</f>
        <v>Missing</v>
      </c>
    </row>
    <row r="70" spans="1:13" x14ac:dyDescent="0.3">
      <c r="A70">
        <v>2068</v>
      </c>
      <c r="B70" t="s">
        <v>27</v>
      </c>
      <c r="C70" t="s">
        <v>13</v>
      </c>
      <c r="D70" t="s">
        <v>30</v>
      </c>
      <c r="E70">
        <v>5</v>
      </c>
      <c r="F70" t="s">
        <v>30</v>
      </c>
      <c r="G70">
        <v>5</v>
      </c>
      <c r="H70" t="s">
        <v>11</v>
      </c>
      <c r="I70" t="s">
        <v>39</v>
      </c>
      <c r="J70" t="str">
        <f t="shared" si="3"/>
        <v>Missing</v>
      </c>
      <c r="K70" t="str">
        <f t="shared" si="4"/>
        <v>Missing</v>
      </c>
      <c r="L70" t="str">
        <f t="shared" si="5"/>
        <v>Missing</v>
      </c>
      <c r="M70" t="str" cm="1">
        <f t="array" ref="M70">IF(D70="","Missing",_xlfn.IFS(D70&gt;=90,"A",D70&gt;=75,"B",D70&gt;=50,"C",TRUE,"F"))</f>
        <v>Missing</v>
      </c>
    </row>
    <row r="71" spans="1:13" x14ac:dyDescent="0.3">
      <c r="A71">
        <v>2069</v>
      </c>
      <c r="B71" t="s">
        <v>28</v>
      </c>
      <c r="C71" t="s">
        <v>10</v>
      </c>
      <c r="D71" t="s">
        <v>30</v>
      </c>
      <c r="F71" t="s">
        <v>30</v>
      </c>
      <c r="G71">
        <v>8</v>
      </c>
      <c r="H71" t="s">
        <v>11</v>
      </c>
      <c r="I71" t="s">
        <v>40</v>
      </c>
      <c r="J71" t="str">
        <f t="shared" si="3"/>
        <v>Missing</v>
      </c>
      <c r="K71" t="str">
        <f t="shared" si="4"/>
        <v>Missing</v>
      </c>
      <c r="L71" t="str">
        <f t="shared" si="5"/>
        <v>Missing</v>
      </c>
      <c r="M71" t="str" cm="1">
        <f t="array" ref="M71">IF(D71="","Missing",_xlfn.IFS(D71&gt;=90,"A",D71&gt;=75,"B",D71&gt;=50,"C",TRUE,"F"))</f>
        <v>Missing</v>
      </c>
    </row>
    <row r="72" spans="1:13" x14ac:dyDescent="0.3">
      <c r="A72">
        <v>2070</v>
      </c>
      <c r="B72" t="s">
        <v>29</v>
      </c>
      <c r="C72" t="s">
        <v>16</v>
      </c>
      <c r="D72" t="s">
        <v>30</v>
      </c>
      <c r="E72">
        <v>94</v>
      </c>
      <c r="F72">
        <v>41182</v>
      </c>
      <c r="G72">
        <v>8</v>
      </c>
      <c r="H72" t="s">
        <v>23</v>
      </c>
      <c r="I72" t="s">
        <v>41</v>
      </c>
      <c r="J72" t="str">
        <f t="shared" si="3"/>
        <v>Missing</v>
      </c>
      <c r="K72" t="str">
        <f t="shared" si="4"/>
        <v>Missing</v>
      </c>
      <c r="L72" t="str">
        <f t="shared" si="5"/>
        <v>Missing</v>
      </c>
      <c r="M72" t="str" cm="1">
        <f t="array" ref="M72">IF(D72="","Missing",_xlfn.IFS(D72&gt;=90,"A",D72&gt;=75,"B",D72&gt;=50,"C",TRUE,"F"))</f>
        <v>Missing</v>
      </c>
    </row>
    <row r="73" spans="1:13" x14ac:dyDescent="0.3">
      <c r="A73">
        <v>2071</v>
      </c>
      <c r="B73" t="s">
        <v>12</v>
      </c>
      <c r="C73" t="s">
        <v>10</v>
      </c>
      <c r="D73" t="s">
        <v>30</v>
      </c>
      <c r="E73">
        <v>14</v>
      </c>
      <c r="F73" t="s">
        <v>30</v>
      </c>
      <c r="G73">
        <v>6</v>
      </c>
      <c r="H73" t="s">
        <v>11</v>
      </c>
      <c r="I73" t="s">
        <v>32</v>
      </c>
      <c r="J73" t="str">
        <f t="shared" si="3"/>
        <v>Missing</v>
      </c>
      <c r="K73" t="str">
        <f t="shared" si="4"/>
        <v>Missing</v>
      </c>
      <c r="L73" t="str">
        <f t="shared" si="5"/>
        <v>Missing</v>
      </c>
      <c r="M73" t="str" cm="1">
        <f t="array" ref="M73">IF(D73="","Missing",_xlfn.IFS(D73&gt;=90,"A",D73&gt;=75,"B",D73&gt;=50,"C",TRUE,"F"))</f>
        <v>Missing</v>
      </c>
    </row>
    <row r="74" spans="1:13" x14ac:dyDescent="0.3">
      <c r="A74">
        <v>2072</v>
      </c>
      <c r="B74" t="s">
        <v>22</v>
      </c>
      <c r="C74" t="s">
        <v>25</v>
      </c>
      <c r="D74" t="s">
        <v>30</v>
      </c>
      <c r="F74" t="s">
        <v>30</v>
      </c>
      <c r="G74">
        <v>9</v>
      </c>
      <c r="H74" t="s">
        <v>11</v>
      </c>
      <c r="I74" t="s">
        <v>36</v>
      </c>
      <c r="J74" t="str">
        <f t="shared" si="3"/>
        <v>Missing</v>
      </c>
      <c r="K74" t="str">
        <f t="shared" si="4"/>
        <v>Missing</v>
      </c>
      <c r="L74" t="str">
        <f t="shared" si="5"/>
        <v>Missing</v>
      </c>
      <c r="M74" t="str" cm="1">
        <f t="array" ref="M74">IF(D74="","Missing",_xlfn.IFS(D74&gt;=90,"A",D74&gt;=75,"B",D74&gt;=50,"C",TRUE,"F"))</f>
        <v>Missing</v>
      </c>
    </row>
    <row r="75" spans="1:13" x14ac:dyDescent="0.3">
      <c r="A75">
        <v>2073</v>
      </c>
      <c r="B75" t="s">
        <v>28</v>
      </c>
      <c r="C75" t="s">
        <v>25</v>
      </c>
      <c r="D75" t="s">
        <v>30</v>
      </c>
      <c r="F75" t="s">
        <v>30</v>
      </c>
      <c r="G75">
        <v>4</v>
      </c>
      <c r="H75" t="s">
        <v>11</v>
      </c>
      <c r="I75" t="s">
        <v>40</v>
      </c>
      <c r="J75" t="str">
        <f t="shared" si="3"/>
        <v>Missing</v>
      </c>
      <c r="K75" t="str">
        <f t="shared" si="4"/>
        <v>Missing</v>
      </c>
      <c r="L75" t="str">
        <f t="shared" si="5"/>
        <v>Missing</v>
      </c>
      <c r="M75" t="str" cm="1">
        <f t="array" ref="M75">IF(D75="","Missing",_xlfn.IFS(D75&gt;=90,"A",D75&gt;=75,"B",D75&gt;=50,"C",TRUE,"F"))</f>
        <v>Missing</v>
      </c>
    </row>
    <row r="76" spans="1:13" x14ac:dyDescent="0.3">
      <c r="A76">
        <v>2074</v>
      </c>
      <c r="B76" t="s">
        <v>20</v>
      </c>
      <c r="C76" t="s">
        <v>13</v>
      </c>
      <c r="D76" t="s">
        <v>30</v>
      </c>
      <c r="E76">
        <v>24</v>
      </c>
      <c r="F76" t="s">
        <v>30</v>
      </c>
      <c r="G76">
        <v>9</v>
      </c>
      <c r="H76" t="s">
        <v>11</v>
      </c>
      <c r="I76" t="s">
        <v>35</v>
      </c>
      <c r="J76" t="str">
        <f t="shared" si="3"/>
        <v>Missing</v>
      </c>
      <c r="K76" t="str">
        <f t="shared" si="4"/>
        <v>Missing</v>
      </c>
      <c r="L76" t="str">
        <f t="shared" si="5"/>
        <v>Missing</v>
      </c>
      <c r="M76" t="str" cm="1">
        <f t="array" ref="M76">IF(D76="","Missing",_xlfn.IFS(D76&gt;=90,"A",D76&gt;=75,"B",D76&gt;=50,"C",TRUE,"F"))</f>
        <v>Missing</v>
      </c>
    </row>
    <row r="77" spans="1:13" x14ac:dyDescent="0.3">
      <c r="A77">
        <v>2075</v>
      </c>
      <c r="B77" t="s">
        <v>26</v>
      </c>
      <c r="C77" t="s">
        <v>10</v>
      </c>
      <c r="D77" t="s">
        <v>30</v>
      </c>
      <c r="E77">
        <v>66</v>
      </c>
      <c r="F77">
        <v>99001</v>
      </c>
      <c r="G77">
        <v>6</v>
      </c>
      <c r="H77" t="s">
        <v>11</v>
      </c>
      <c r="I77" t="s">
        <v>38</v>
      </c>
      <c r="J77" t="str">
        <f t="shared" si="3"/>
        <v>Missing</v>
      </c>
      <c r="K77" t="str">
        <f t="shared" si="4"/>
        <v>Missing</v>
      </c>
      <c r="L77" t="str">
        <f t="shared" si="5"/>
        <v>Missing</v>
      </c>
      <c r="M77" t="str" cm="1">
        <f t="array" ref="M77">IF(D77="","Missing",_xlfn.IFS(D77&gt;=90,"A",D77&gt;=75,"B",D77&gt;=50,"C",TRUE,"F"))</f>
        <v>Missing</v>
      </c>
    </row>
    <row r="78" spans="1:13" x14ac:dyDescent="0.3">
      <c r="A78">
        <v>2076</v>
      </c>
      <c r="B78" t="s">
        <v>26</v>
      </c>
      <c r="C78" t="s">
        <v>13</v>
      </c>
      <c r="D78" t="s">
        <v>30</v>
      </c>
      <c r="F78">
        <v>51470</v>
      </c>
      <c r="G78">
        <v>11</v>
      </c>
      <c r="H78" t="s">
        <v>19</v>
      </c>
      <c r="I78" t="s">
        <v>38</v>
      </c>
      <c r="J78" t="str">
        <f t="shared" si="3"/>
        <v>Missing</v>
      </c>
      <c r="K78" t="str">
        <f t="shared" si="4"/>
        <v>Missing</v>
      </c>
      <c r="L78" t="str">
        <f t="shared" si="5"/>
        <v>Missing</v>
      </c>
      <c r="M78" t="str" cm="1">
        <f t="array" ref="M78">IF(D78="","Missing",_xlfn.IFS(D78&gt;=90,"A",D78&gt;=75,"B",D78&gt;=50,"C",TRUE,"F"))</f>
        <v>Missing</v>
      </c>
    </row>
    <row r="79" spans="1:13" x14ac:dyDescent="0.3">
      <c r="A79">
        <v>2077</v>
      </c>
      <c r="B79" t="s">
        <v>28</v>
      </c>
      <c r="C79" t="s">
        <v>10</v>
      </c>
      <c r="D79" t="s">
        <v>30</v>
      </c>
      <c r="E79">
        <v>73</v>
      </c>
      <c r="F79">
        <v>80632</v>
      </c>
      <c r="G79">
        <v>0</v>
      </c>
      <c r="H79" t="s">
        <v>19</v>
      </c>
      <c r="I79" t="s">
        <v>40</v>
      </c>
      <c r="J79" t="str">
        <f t="shared" si="3"/>
        <v>Missing</v>
      </c>
      <c r="K79" t="str">
        <f t="shared" si="4"/>
        <v>Missing</v>
      </c>
      <c r="L79" t="str">
        <f t="shared" si="5"/>
        <v>Missing</v>
      </c>
      <c r="M79" t="str" cm="1">
        <f t="array" ref="M79">IF(D79="","Missing",_xlfn.IFS(D79&gt;=90,"A",D79&gt;=75,"B",D79&gt;=50,"C",TRUE,"F"))</f>
        <v>Missing</v>
      </c>
    </row>
    <row r="80" spans="1:13" x14ac:dyDescent="0.3">
      <c r="A80">
        <v>2078</v>
      </c>
      <c r="B80" t="s">
        <v>22</v>
      </c>
      <c r="C80" t="s">
        <v>16</v>
      </c>
      <c r="D80" t="s">
        <v>30</v>
      </c>
      <c r="E80">
        <v>51</v>
      </c>
      <c r="F80" t="s">
        <v>30</v>
      </c>
      <c r="G80">
        <v>5</v>
      </c>
      <c r="H80" t="s">
        <v>14</v>
      </c>
      <c r="I80" t="s">
        <v>36</v>
      </c>
      <c r="J80" t="str">
        <f t="shared" si="3"/>
        <v>Missing</v>
      </c>
      <c r="K80" t="str">
        <f t="shared" si="4"/>
        <v>Missing</v>
      </c>
      <c r="L80" t="str">
        <f t="shared" si="5"/>
        <v>Missing</v>
      </c>
      <c r="M80" t="str" cm="1">
        <f t="array" ref="M80">IF(D80="","Missing",_xlfn.IFS(D80&gt;=90,"A",D80&gt;=75,"B",D80&gt;=50,"C",TRUE,"F"))</f>
        <v>Missing</v>
      </c>
    </row>
    <row r="81" spans="1:13" x14ac:dyDescent="0.3">
      <c r="A81">
        <v>2079</v>
      </c>
      <c r="B81" t="s">
        <v>20</v>
      </c>
      <c r="C81" t="s">
        <v>10</v>
      </c>
      <c r="D81">
        <v>76</v>
      </c>
      <c r="E81">
        <v>30</v>
      </c>
      <c r="F81" t="s">
        <v>30</v>
      </c>
      <c r="G81">
        <v>7</v>
      </c>
      <c r="H81" t="s">
        <v>14</v>
      </c>
      <c r="I81" t="s">
        <v>35</v>
      </c>
      <c r="J81" t="str">
        <f t="shared" si="3"/>
        <v>Pass</v>
      </c>
      <c r="K81" t="str">
        <f t="shared" si="4"/>
        <v>Not Eligible</v>
      </c>
      <c r="L81" t="str">
        <f t="shared" si="5"/>
        <v>Risk</v>
      </c>
      <c r="M81" t="str" cm="1">
        <f t="array" ref="M81">IF(D81="","Missing",_xlfn.IFS(D81&gt;=90,"A",D81&gt;=75,"B",D81&gt;=50,"C",TRUE,"F"))</f>
        <v>B</v>
      </c>
    </row>
    <row r="82" spans="1:13" x14ac:dyDescent="0.3">
      <c r="A82">
        <v>2080</v>
      </c>
      <c r="B82" t="s">
        <v>9</v>
      </c>
      <c r="C82" t="s">
        <v>18</v>
      </c>
      <c r="D82" t="s">
        <v>30</v>
      </c>
      <c r="E82">
        <v>12</v>
      </c>
      <c r="F82">
        <v>39824</v>
      </c>
      <c r="G82">
        <v>12</v>
      </c>
      <c r="H82" t="s">
        <v>19</v>
      </c>
      <c r="I82" t="s">
        <v>31</v>
      </c>
      <c r="J82" t="str">
        <f t="shared" si="3"/>
        <v>Missing</v>
      </c>
      <c r="K82" t="str">
        <f t="shared" si="4"/>
        <v>Missing</v>
      </c>
      <c r="L82" t="str">
        <f t="shared" si="5"/>
        <v>Missing</v>
      </c>
      <c r="M82" t="str" cm="1">
        <f t="array" ref="M82">IF(D82="","Missing",_xlfn.IFS(D82&gt;=90,"A",D82&gt;=75,"B",D82&gt;=50,"C",TRUE,"F"))</f>
        <v>Missing</v>
      </c>
    </row>
    <row r="83" spans="1:13" x14ac:dyDescent="0.3">
      <c r="A83">
        <v>2081</v>
      </c>
      <c r="B83" t="s">
        <v>29</v>
      </c>
      <c r="C83" t="s">
        <v>16</v>
      </c>
      <c r="D83" t="s">
        <v>30</v>
      </c>
      <c r="E83">
        <v>30</v>
      </c>
      <c r="F83">
        <v>99310</v>
      </c>
      <c r="G83">
        <v>5</v>
      </c>
      <c r="H83" t="s">
        <v>23</v>
      </c>
      <c r="I83" t="s">
        <v>41</v>
      </c>
      <c r="J83" t="str">
        <f t="shared" si="3"/>
        <v>Missing</v>
      </c>
      <c r="K83" t="str">
        <f t="shared" si="4"/>
        <v>Missing</v>
      </c>
      <c r="L83" t="str">
        <f t="shared" si="5"/>
        <v>Missing</v>
      </c>
      <c r="M83" t="str" cm="1">
        <f t="array" ref="M83">IF(D83="","Missing",_xlfn.IFS(D83&gt;=90,"A",D83&gt;=75,"B",D83&gt;=50,"C",TRUE,"F"))</f>
        <v>Missing</v>
      </c>
    </row>
    <row r="84" spans="1:13" x14ac:dyDescent="0.3">
      <c r="A84">
        <v>2082</v>
      </c>
      <c r="B84" t="s">
        <v>26</v>
      </c>
      <c r="C84" t="s">
        <v>10</v>
      </c>
      <c r="D84" t="s">
        <v>30</v>
      </c>
      <c r="E84">
        <v>79</v>
      </c>
      <c r="F84" t="s">
        <v>30</v>
      </c>
      <c r="G84">
        <v>11</v>
      </c>
      <c r="H84" t="s">
        <v>19</v>
      </c>
      <c r="I84" t="s">
        <v>38</v>
      </c>
      <c r="J84" t="str">
        <f t="shared" si="3"/>
        <v>Missing</v>
      </c>
      <c r="K84" t="str">
        <f t="shared" si="4"/>
        <v>Missing</v>
      </c>
      <c r="L84" t="str">
        <f t="shared" si="5"/>
        <v>Missing</v>
      </c>
      <c r="M84" t="str" cm="1">
        <f t="array" ref="M84">IF(D84="","Missing",_xlfn.IFS(D84&gt;=90,"A",D84&gt;=75,"B",D84&gt;=50,"C",TRUE,"F"))</f>
        <v>Missing</v>
      </c>
    </row>
    <row r="85" spans="1:13" x14ac:dyDescent="0.3">
      <c r="A85">
        <v>2083</v>
      </c>
      <c r="B85" t="s">
        <v>29</v>
      </c>
      <c r="C85" t="s">
        <v>16</v>
      </c>
      <c r="D85" t="s">
        <v>30</v>
      </c>
      <c r="F85" t="s">
        <v>30</v>
      </c>
      <c r="G85">
        <v>12</v>
      </c>
      <c r="H85" t="s">
        <v>21</v>
      </c>
      <c r="I85" t="s">
        <v>41</v>
      </c>
      <c r="J85" t="str">
        <f t="shared" si="3"/>
        <v>Missing</v>
      </c>
      <c r="K85" t="str">
        <f t="shared" si="4"/>
        <v>Missing</v>
      </c>
      <c r="L85" t="str">
        <f t="shared" si="5"/>
        <v>Missing</v>
      </c>
      <c r="M85" t="str" cm="1">
        <f t="array" ref="M85">IF(D85="","Missing",_xlfn.IFS(D85&gt;=90,"A",D85&gt;=75,"B",D85&gt;=50,"C",TRUE,"F"))</f>
        <v>Missing</v>
      </c>
    </row>
    <row r="86" spans="1:13" x14ac:dyDescent="0.3">
      <c r="A86">
        <v>2084</v>
      </c>
      <c r="B86" t="s">
        <v>26</v>
      </c>
      <c r="C86" t="s">
        <v>16</v>
      </c>
      <c r="D86" t="s">
        <v>30</v>
      </c>
      <c r="E86">
        <v>7</v>
      </c>
      <c r="F86">
        <v>59395</v>
      </c>
      <c r="G86">
        <v>8</v>
      </c>
      <c r="H86" t="s">
        <v>23</v>
      </c>
      <c r="I86" t="s">
        <v>38</v>
      </c>
      <c r="J86" t="str">
        <f t="shared" si="3"/>
        <v>Missing</v>
      </c>
      <c r="K86" t="str">
        <f t="shared" si="4"/>
        <v>Missing</v>
      </c>
      <c r="L86" t="str">
        <f t="shared" si="5"/>
        <v>Missing</v>
      </c>
      <c r="M86" t="str" cm="1">
        <f t="array" ref="M86">IF(D86="","Missing",_xlfn.IFS(D86&gt;=90,"A",D86&gt;=75,"B",D86&gt;=50,"C",TRUE,"F"))</f>
        <v>Missing</v>
      </c>
    </row>
    <row r="87" spans="1:13" x14ac:dyDescent="0.3">
      <c r="A87">
        <v>2085</v>
      </c>
      <c r="B87" t="s">
        <v>9</v>
      </c>
      <c r="C87" t="s">
        <v>16</v>
      </c>
      <c r="D87" t="s">
        <v>30</v>
      </c>
      <c r="E87">
        <v>30</v>
      </c>
      <c r="F87" t="s">
        <v>30</v>
      </c>
      <c r="G87">
        <v>9</v>
      </c>
      <c r="H87" t="s">
        <v>19</v>
      </c>
      <c r="I87" t="s">
        <v>31</v>
      </c>
      <c r="J87" t="str">
        <f t="shared" si="3"/>
        <v>Missing</v>
      </c>
      <c r="K87" t="str">
        <f t="shared" si="4"/>
        <v>Missing</v>
      </c>
      <c r="L87" t="str">
        <f t="shared" si="5"/>
        <v>Missing</v>
      </c>
      <c r="M87" t="str" cm="1">
        <f t="array" ref="M87">IF(D87="","Missing",_xlfn.IFS(D87&gt;=90,"A",D87&gt;=75,"B",D87&gt;=50,"C",TRUE,"F"))</f>
        <v>Missing</v>
      </c>
    </row>
    <row r="88" spans="1:13" x14ac:dyDescent="0.3">
      <c r="A88">
        <v>2086</v>
      </c>
      <c r="B88" t="s">
        <v>17</v>
      </c>
      <c r="C88" t="s">
        <v>16</v>
      </c>
      <c r="D88" t="s">
        <v>30</v>
      </c>
      <c r="E88">
        <v>86</v>
      </c>
      <c r="F88">
        <v>93110</v>
      </c>
      <c r="G88">
        <v>3</v>
      </c>
      <c r="H88" t="s">
        <v>23</v>
      </c>
      <c r="I88" t="s">
        <v>34</v>
      </c>
      <c r="J88" t="str">
        <f t="shared" si="3"/>
        <v>Missing</v>
      </c>
      <c r="K88" t="str">
        <f t="shared" si="4"/>
        <v>Missing</v>
      </c>
      <c r="L88" t="str">
        <f t="shared" si="5"/>
        <v>Missing</v>
      </c>
      <c r="M88" t="str" cm="1">
        <f t="array" ref="M88">IF(D88="","Missing",_xlfn.IFS(D88&gt;=90,"A",D88&gt;=75,"B",D88&gt;=50,"C",TRUE,"F"))</f>
        <v>Missing</v>
      </c>
    </row>
    <row r="89" spans="1:13" x14ac:dyDescent="0.3">
      <c r="A89">
        <v>2087</v>
      </c>
      <c r="B89" t="s">
        <v>9</v>
      </c>
      <c r="C89" t="s">
        <v>16</v>
      </c>
      <c r="D89" t="s">
        <v>30</v>
      </c>
      <c r="F89">
        <v>87035</v>
      </c>
      <c r="G89">
        <v>6</v>
      </c>
      <c r="H89" t="s">
        <v>19</v>
      </c>
      <c r="I89" t="s">
        <v>31</v>
      </c>
      <c r="J89" t="str">
        <f t="shared" si="3"/>
        <v>Missing</v>
      </c>
      <c r="K89" t="str">
        <f t="shared" si="4"/>
        <v>Missing</v>
      </c>
      <c r="L89" t="str">
        <f t="shared" si="5"/>
        <v>Missing</v>
      </c>
      <c r="M89" t="str" cm="1">
        <f t="array" ref="M89">IF(D89="","Missing",_xlfn.IFS(D89&gt;=90,"A",D89&gt;=75,"B",D89&gt;=50,"C",TRUE,"F"))</f>
        <v>Missing</v>
      </c>
    </row>
    <row r="90" spans="1:13" x14ac:dyDescent="0.3">
      <c r="A90">
        <v>2088</v>
      </c>
      <c r="B90" t="s">
        <v>27</v>
      </c>
      <c r="C90" t="s">
        <v>18</v>
      </c>
      <c r="D90">
        <v>40</v>
      </c>
      <c r="E90">
        <v>20</v>
      </c>
      <c r="F90">
        <v>89950</v>
      </c>
      <c r="G90">
        <v>11</v>
      </c>
      <c r="H90" t="s">
        <v>19</v>
      </c>
      <c r="I90" t="s">
        <v>39</v>
      </c>
      <c r="J90" t="str">
        <f t="shared" si="3"/>
        <v>Pass</v>
      </c>
      <c r="K90" t="str">
        <f t="shared" si="4"/>
        <v>Not Eligible</v>
      </c>
      <c r="L90" t="str">
        <f t="shared" si="5"/>
        <v>Risk</v>
      </c>
      <c r="M90" t="str" cm="1">
        <f t="array" ref="M90">IF(D90="","Missing",_xlfn.IFS(D90&gt;=90,"A",D90&gt;=75,"B",D90&gt;=50,"C",TRUE,"F"))</f>
        <v>F</v>
      </c>
    </row>
    <row r="91" spans="1:13" x14ac:dyDescent="0.3">
      <c r="A91">
        <v>2089</v>
      </c>
      <c r="B91" t="s">
        <v>26</v>
      </c>
      <c r="C91" t="s">
        <v>13</v>
      </c>
      <c r="D91" t="s">
        <v>30</v>
      </c>
      <c r="E91">
        <v>26</v>
      </c>
      <c r="F91" t="s">
        <v>30</v>
      </c>
      <c r="G91">
        <v>11</v>
      </c>
      <c r="H91" t="s">
        <v>21</v>
      </c>
      <c r="I91" t="s">
        <v>38</v>
      </c>
      <c r="J91" t="str">
        <f t="shared" si="3"/>
        <v>Missing</v>
      </c>
      <c r="K91" t="str">
        <f t="shared" si="4"/>
        <v>Missing</v>
      </c>
      <c r="L91" t="str">
        <f t="shared" si="5"/>
        <v>Missing</v>
      </c>
      <c r="M91" t="str" cm="1">
        <f t="array" ref="M91">IF(D91="","Missing",_xlfn.IFS(D91&gt;=90,"A",D91&gt;=75,"B",D91&gt;=50,"C",TRUE,"F"))</f>
        <v>Missing</v>
      </c>
    </row>
    <row r="92" spans="1:13" x14ac:dyDescent="0.3">
      <c r="A92">
        <v>2090</v>
      </c>
      <c r="B92" t="s">
        <v>28</v>
      </c>
      <c r="C92" t="s">
        <v>16</v>
      </c>
      <c r="D92">
        <v>90</v>
      </c>
      <c r="E92">
        <v>24</v>
      </c>
      <c r="F92">
        <v>74453</v>
      </c>
      <c r="G92">
        <v>4</v>
      </c>
      <c r="H92" t="s">
        <v>11</v>
      </c>
      <c r="I92" t="s">
        <v>40</v>
      </c>
      <c r="J92" t="str">
        <f t="shared" si="3"/>
        <v>Pass</v>
      </c>
      <c r="K92" t="str">
        <f t="shared" si="4"/>
        <v>Not Eligible</v>
      </c>
      <c r="L92" t="str">
        <f t="shared" si="5"/>
        <v>Risk</v>
      </c>
      <c r="M92" t="str" cm="1">
        <f t="array" ref="M92">IF(D92="","Missing",_xlfn.IFS(D92&gt;=90,"A",D92&gt;=75,"B",D92&gt;=50,"C",TRUE,"F"))</f>
        <v>A</v>
      </c>
    </row>
    <row r="93" spans="1:13" x14ac:dyDescent="0.3">
      <c r="A93">
        <v>2091</v>
      </c>
      <c r="B93" t="s">
        <v>12</v>
      </c>
      <c r="C93" t="s">
        <v>25</v>
      </c>
      <c r="D93" t="s">
        <v>30</v>
      </c>
      <c r="E93">
        <v>26</v>
      </c>
      <c r="F93" t="s">
        <v>30</v>
      </c>
      <c r="G93">
        <v>7</v>
      </c>
      <c r="H93" t="s">
        <v>11</v>
      </c>
      <c r="I93" t="s">
        <v>32</v>
      </c>
      <c r="J93" t="str">
        <f t="shared" si="3"/>
        <v>Missing</v>
      </c>
      <c r="K93" t="str">
        <f t="shared" si="4"/>
        <v>Missing</v>
      </c>
      <c r="L93" t="str">
        <f t="shared" si="5"/>
        <v>Missing</v>
      </c>
      <c r="M93" t="str" cm="1">
        <f t="array" ref="M93">IF(D93="","Missing",_xlfn.IFS(D93&gt;=90,"A",D93&gt;=75,"B",D93&gt;=50,"C",TRUE,"F"))</f>
        <v>Missing</v>
      </c>
    </row>
    <row r="94" spans="1:13" x14ac:dyDescent="0.3">
      <c r="A94">
        <v>2092</v>
      </c>
      <c r="B94" t="s">
        <v>20</v>
      </c>
      <c r="C94" t="s">
        <v>13</v>
      </c>
      <c r="D94" t="s">
        <v>30</v>
      </c>
      <c r="E94">
        <v>22</v>
      </c>
      <c r="F94">
        <v>76147</v>
      </c>
      <c r="G94">
        <v>7</v>
      </c>
      <c r="H94" t="s">
        <v>11</v>
      </c>
      <c r="I94" t="s">
        <v>35</v>
      </c>
      <c r="J94" t="str">
        <f t="shared" si="3"/>
        <v>Missing</v>
      </c>
      <c r="K94" t="str">
        <f t="shared" si="4"/>
        <v>Missing</v>
      </c>
      <c r="L94" t="str">
        <f t="shared" si="5"/>
        <v>Missing</v>
      </c>
      <c r="M94" t="str" cm="1">
        <f t="array" ref="M94">IF(D94="","Missing",_xlfn.IFS(D94&gt;=90,"A",D94&gt;=75,"B",D94&gt;=50,"C",TRUE,"F"))</f>
        <v>Missing</v>
      </c>
    </row>
    <row r="95" spans="1:13" x14ac:dyDescent="0.3">
      <c r="A95">
        <v>2093</v>
      </c>
      <c r="B95" t="s">
        <v>17</v>
      </c>
      <c r="C95" t="s">
        <v>16</v>
      </c>
      <c r="D95" t="s">
        <v>30</v>
      </c>
      <c r="F95" t="s">
        <v>30</v>
      </c>
      <c r="G95">
        <v>6</v>
      </c>
      <c r="H95" t="s">
        <v>11</v>
      </c>
      <c r="I95" t="s">
        <v>34</v>
      </c>
      <c r="J95" t="str">
        <f t="shared" si="3"/>
        <v>Missing</v>
      </c>
      <c r="K95" t="str">
        <f t="shared" si="4"/>
        <v>Missing</v>
      </c>
      <c r="L95" t="str">
        <f t="shared" si="5"/>
        <v>Missing</v>
      </c>
      <c r="M95" t="str" cm="1">
        <f t="array" ref="M95">IF(D95="","Missing",_xlfn.IFS(D95&gt;=90,"A",D95&gt;=75,"B",D95&gt;=50,"C",TRUE,"F"))</f>
        <v>Missing</v>
      </c>
    </row>
    <row r="96" spans="1:13" x14ac:dyDescent="0.3">
      <c r="A96">
        <v>2094</v>
      </c>
      <c r="B96" t="s">
        <v>20</v>
      </c>
      <c r="C96" t="s">
        <v>25</v>
      </c>
      <c r="D96" t="s">
        <v>30</v>
      </c>
      <c r="E96">
        <v>88</v>
      </c>
      <c r="F96" t="s">
        <v>30</v>
      </c>
      <c r="G96">
        <v>5</v>
      </c>
      <c r="H96" t="s">
        <v>14</v>
      </c>
      <c r="I96" t="s">
        <v>35</v>
      </c>
      <c r="J96" t="str">
        <f t="shared" si="3"/>
        <v>Missing</v>
      </c>
      <c r="K96" t="str">
        <f t="shared" si="4"/>
        <v>Missing</v>
      </c>
      <c r="L96" t="str">
        <f t="shared" si="5"/>
        <v>Missing</v>
      </c>
      <c r="M96" t="str" cm="1">
        <f t="array" ref="M96">IF(D96="","Missing",_xlfn.IFS(D96&gt;=90,"A",D96&gt;=75,"B",D96&gt;=50,"C",TRUE,"F"))</f>
        <v>Missing</v>
      </c>
    </row>
    <row r="97" spans="1:13" x14ac:dyDescent="0.3">
      <c r="A97">
        <v>2095</v>
      </c>
      <c r="B97" t="s">
        <v>27</v>
      </c>
      <c r="C97" t="s">
        <v>25</v>
      </c>
      <c r="D97" t="s">
        <v>30</v>
      </c>
      <c r="F97">
        <v>72814</v>
      </c>
      <c r="G97">
        <v>4</v>
      </c>
      <c r="H97" t="s">
        <v>19</v>
      </c>
      <c r="I97" t="s">
        <v>39</v>
      </c>
      <c r="J97" t="str">
        <f t="shared" si="3"/>
        <v>Missing</v>
      </c>
      <c r="K97" t="str">
        <f t="shared" si="4"/>
        <v>Missing</v>
      </c>
      <c r="L97" t="str">
        <f t="shared" si="5"/>
        <v>Missing</v>
      </c>
      <c r="M97" t="str" cm="1">
        <f t="array" ref="M97">IF(D97="","Missing",_xlfn.IFS(D97&gt;=90,"A",D97&gt;=75,"B",D97&gt;=50,"C",TRUE,"F"))</f>
        <v>Missing</v>
      </c>
    </row>
    <row r="98" spans="1:13" x14ac:dyDescent="0.3">
      <c r="A98">
        <v>2096</v>
      </c>
      <c r="B98" t="s">
        <v>27</v>
      </c>
      <c r="C98" t="s">
        <v>18</v>
      </c>
      <c r="D98">
        <v>98</v>
      </c>
      <c r="E98">
        <v>67</v>
      </c>
      <c r="F98">
        <v>34579</v>
      </c>
      <c r="G98">
        <v>5</v>
      </c>
      <c r="H98" t="s">
        <v>19</v>
      </c>
      <c r="I98" t="s">
        <v>39</v>
      </c>
      <c r="J98" t="str">
        <f t="shared" si="3"/>
        <v>Pass</v>
      </c>
      <c r="K98" t="str">
        <f t="shared" si="4"/>
        <v>Not Eligible</v>
      </c>
      <c r="L98" t="str">
        <f t="shared" si="5"/>
        <v>Normal</v>
      </c>
      <c r="M98" t="str" cm="1">
        <f t="array" ref="M98">IF(D98="","Missing",_xlfn.IFS(D98&gt;=90,"A",D98&gt;=75,"B",D98&gt;=50,"C",TRUE,"F"))</f>
        <v>A</v>
      </c>
    </row>
    <row r="99" spans="1:13" x14ac:dyDescent="0.3">
      <c r="A99">
        <v>2097</v>
      </c>
      <c r="B99" t="s">
        <v>17</v>
      </c>
      <c r="C99" t="s">
        <v>13</v>
      </c>
      <c r="D99" t="s">
        <v>30</v>
      </c>
      <c r="E99">
        <v>49</v>
      </c>
      <c r="F99">
        <v>22374</v>
      </c>
      <c r="G99">
        <v>6</v>
      </c>
      <c r="H99" t="s">
        <v>11</v>
      </c>
      <c r="I99" t="s">
        <v>34</v>
      </c>
      <c r="J99" t="str">
        <f t="shared" si="3"/>
        <v>Missing</v>
      </c>
      <c r="K99" t="str">
        <f t="shared" si="4"/>
        <v>Missing</v>
      </c>
      <c r="L99" t="str">
        <f t="shared" si="5"/>
        <v>Missing</v>
      </c>
      <c r="M99" t="str" cm="1">
        <f t="array" ref="M99">IF(D99="","Missing",_xlfn.IFS(D99&gt;=90,"A",D99&gt;=75,"B",D99&gt;=50,"C",TRUE,"F"))</f>
        <v>Missing</v>
      </c>
    </row>
    <row r="100" spans="1:13" x14ac:dyDescent="0.3">
      <c r="A100">
        <v>2098</v>
      </c>
      <c r="B100" t="s">
        <v>27</v>
      </c>
      <c r="C100" t="s">
        <v>18</v>
      </c>
      <c r="D100">
        <v>62</v>
      </c>
      <c r="E100">
        <v>100</v>
      </c>
      <c r="F100" t="s">
        <v>30</v>
      </c>
      <c r="G100">
        <v>12</v>
      </c>
      <c r="H100" t="s">
        <v>19</v>
      </c>
      <c r="I100" t="s">
        <v>39</v>
      </c>
      <c r="J100" t="str">
        <f t="shared" si="3"/>
        <v>Pass</v>
      </c>
      <c r="K100" t="str">
        <f t="shared" si="4"/>
        <v>Eligible</v>
      </c>
      <c r="L100" t="str">
        <f t="shared" si="5"/>
        <v>Normal</v>
      </c>
      <c r="M100" t="str" cm="1">
        <f t="array" ref="M100">IF(D100="","Missing",_xlfn.IFS(D100&gt;=90,"A",D100&gt;=75,"B",D100&gt;=50,"C",TRUE,"F"))</f>
        <v>C</v>
      </c>
    </row>
    <row r="101" spans="1:13" x14ac:dyDescent="0.3">
      <c r="A101">
        <v>2099</v>
      </c>
      <c r="B101" t="s">
        <v>17</v>
      </c>
      <c r="C101" t="s">
        <v>18</v>
      </c>
      <c r="D101" t="s">
        <v>30</v>
      </c>
      <c r="E101">
        <v>52</v>
      </c>
      <c r="F101">
        <v>95856</v>
      </c>
      <c r="G101">
        <v>7</v>
      </c>
      <c r="H101" t="s">
        <v>21</v>
      </c>
      <c r="I101" t="s">
        <v>34</v>
      </c>
      <c r="J101" t="str">
        <f t="shared" si="3"/>
        <v>Missing</v>
      </c>
      <c r="K101" t="str">
        <f t="shared" si="4"/>
        <v>Missing</v>
      </c>
      <c r="L101" t="str">
        <f t="shared" si="5"/>
        <v>Missing</v>
      </c>
      <c r="M101" t="str" cm="1">
        <f t="array" ref="M101">IF(D101="","Missing",_xlfn.IFS(D101&gt;=90,"A",D101&gt;=75,"B",D101&gt;=50,"C",TRUE,"F"))</f>
        <v>Missing</v>
      </c>
    </row>
    <row r="102" spans="1:13" x14ac:dyDescent="0.3">
      <c r="A102">
        <v>2100</v>
      </c>
      <c r="B102" t="s">
        <v>24</v>
      </c>
      <c r="C102" t="s">
        <v>13</v>
      </c>
      <c r="D102" t="s">
        <v>30</v>
      </c>
      <c r="E102">
        <v>19</v>
      </c>
      <c r="F102" t="s">
        <v>30</v>
      </c>
      <c r="G102">
        <v>10</v>
      </c>
      <c r="H102" t="s">
        <v>23</v>
      </c>
      <c r="I102" t="s">
        <v>37</v>
      </c>
      <c r="J102" t="str">
        <f t="shared" si="3"/>
        <v>Missing</v>
      </c>
      <c r="K102" t="str">
        <f t="shared" si="4"/>
        <v>Missing</v>
      </c>
      <c r="L102" t="str">
        <f t="shared" si="5"/>
        <v>Missing</v>
      </c>
      <c r="M102" t="str" cm="1">
        <f t="array" ref="M102">IF(D102="","Missing",_xlfn.IFS(D102&gt;=90,"A",D102&gt;=75,"B",D102&gt;=50,"C",TRUE,"F"))</f>
        <v>Missing</v>
      </c>
    </row>
    <row r="103" spans="1:13" x14ac:dyDescent="0.3">
      <c r="A103">
        <v>2101</v>
      </c>
      <c r="B103" t="s">
        <v>15</v>
      </c>
      <c r="C103" t="s">
        <v>10</v>
      </c>
      <c r="D103" t="s">
        <v>30</v>
      </c>
      <c r="E103">
        <v>26</v>
      </c>
      <c r="F103">
        <v>32884</v>
      </c>
      <c r="G103">
        <v>3</v>
      </c>
      <c r="H103" t="s">
        <v>21</v>
      </c>
      <c r="I103" t="s">
        <v>33</v>
      </c>
      <c r="J103" t="str">
        <f t="shared" si="3"/>
        <v>Missing</v>
      </c>
      <c r="K103" t="str">
        <f t="shared" si="4"/>
        <v>Missing</v>
      </c>
      <c r="L103" t="str">
        <f t="shared" si="5"/>
        <v>Missing</v>
      </c>
      <c r="M103" t="str" cm="1">
        <f t="array" ref="M103">IF(D103="","Missing",_xlfn.IFS(D103&gt;=90,"A",D103&gt;=75,"B",D103&gt;=50,"C",TRUE,"F"))</f>
        <v>Missing</v>
      </c>
    </row>
    <row r="104" spans="1:13" x14ac:dyDescent="0.3">
      <c r="A104">
        <v>2102</v>
      </c>
      <c r="B104" t="s">
        <v>12</v>
      </c>
      <c r="C104" t="s">
        <v>25</v>
      </c>
      <c r="D104" t="s">
        <v>30</v>
      </c>
      <c r="F104" t="s">
        <v>30</v>
      </c>
      <c r="G104">
        <v>12</v>
      </c>
      <c r="H104" t="s">
        <v>23</v>
      </c>
      <c r="I104" t="s">
        <v>32</v>
      </c>
      <c r="J104" t="str">
        <f t="shared" si="3"/>
        <v>Missing</v>
      </c>
      <c r="K104" t="str">
        <f t="shared" si="4"/>
        <v>Missing</v>
      </c>
      <c r="L104" t="str">
        <f t="shared" si="5"/>
        <v>Missing</v>
      </c>
      <c r="M104" t="str" cm="1">
        <f t="array" ref="M104">IF(D104="","Missing",_xlfn.IFS(D104&gt;=90,"A",D104&gt;=75,"B",D104&gt;=50,"C",TRUE,"F"))</f>
        <v>Missing</v>
      </c>
    </row>
    <row r="105" spans="1:13" x14ac:dyDescent="0.3">
      <c r="A105">
        <v>2103</v>
      </c>
      <c r="B105" t="s">
        <v>28</v>
      </c>
      <c r="C105" t="s">
        <v>25</v>
      </c>
      <c r="D105">
        <v>95</v>
      </c>
      <c r="F105" t="s">
        <v>30</v>
      </c>
      <c r="G105">
        <v>4</v>
      </c>
      <c r="H105" t="s">
        <v>11</v>
      </c>
      <c r="I105" t="s">
        <v>40</v>
      </c>
      <c r="J105" t="str">
        <f t="shared" si="3"/>
        <v>Pass</v>
      </c>
      <c r="K105" t="str">
        <f t="shared" si="4"/>
        <v>Missing</v>
      </c>
      <c r="L105" t="str">
        <f t="shared" si="5"/>
        <v>Missing</v>
      </c>
      <c r="M105" t="str" cm="1">
        <f t="array" ref="M105">IF(D105="","Missing",_xlfn.IFS(D105&gt;=90,"A",D105&gt;=75,"B",D105&gt;=50,"C",TRUE,"F"))</f>
        <v>A</v>
      </c>
    </row>
    <row r="106" spans="1:13" x14ac:dyDescent="0.3">
      <c r="A106">
        <v>2104</v>
      </c>
      <c r="B106" t="s">
        <v>20</v>
      </c>
      <c r="C106" t="s">
        <v>13</v>
      </c>
      <c r="D106" t="s">
        <v>30</v>
      </c>
      <c r="F106" t="s">
        <v>30</v>
      </c>
      <c r="G106">
        <v>6</v>
      </c>
      <c r="H106" t="s">
        <v>23</v>
      </c>
      <c r="I106" t="s">
        <v>35</v>
      </c>
      <c r="J106" t="str">
        <f t="shared" si="3"/>
        <v>Missing</v>
      </c>
      <c r="K106" t="str">
        <f t="shared" si="4"/>
        <v>Missing</v>
      </c>
      <c r="L106" t="str">
        <f t="shared" si="5"/>
        <v>Missing</v>
      </c>
      <c r="M106" t="str" cm="1">
        <f t="array" ref="M106">IF(D106="","Missing",_xlfn.IFS(D106&gt;=90,"A",D106&gt;=75,"B",D106&gt;=50,"C",TRUE,"F"))</f>
        <v>Missing</v>
      </c>
    </row>
    <row r="107" spans="1:13" x14ac:dyDescent="0.3">
      <c r="A107">
        <v>2105</v>
      </c>
      <c r="B107" t="s">
        <v>9</v>
      </c>
      <c r="C107" t="s">
        <v>25</v>
      </c>
      <c r="D107" t="s">
        <v>30</v>
      </c>
      <c r="F107" t="s">
        <v>30</v>
      </c>
      <c r="G107">
        <v>3</v>
      </c>
      <c r="H107" t="s">
        <v>11</v>
      </c>
      <c r="I107" t="s">
        <v>31</v>
      </c>
      <c r="J107" t="str">
        <f t="shared" si="3"/>
        <v>Missing</v>
      </c>
      <c r="K107" t="str">
        <f t="shared" si="4"/>
        <v>Missing</v>
      </c>
      <c r="L107" t="str">
        <f t="shared" si="5"/>
        <v>Missing</v>
      </c>
      <c r="M107" t="str" cm="1">
        <f t="array" ref="M107">IF(D107="","Missing",_xlfn.IFS(D107&gt;=90,"A",D107&gt;=75,"B",D107&gt;=50,"C",TRUE,"F"))</f>
        <v>Missing</v>
      </c>
    </row>
    <row r="108" spans="1:13" x14ac:dyDescent="0.3">
      <c r="A108">
        <v>2106</v>
      </c>
      <c r="B108" t="s">
        <v>9</v>
      </c>
      <c r="C108" t="s">
        <v>13</v>
      </c>
      <c r="D108" t="s">
        <v>30</v>
      </c>
      <c r="F108" t="s">
        <v>30</v>
      </c>
      <c r="G108">
        <v>9</v>
      </c>
      <c r="H108" t="s">
        <v>11</v>
      </c>
      <c r="I108" t="s">
        <v>31</v>
      </c>
      <c r="J108" t="str">
        <f t="shared" si="3"/>
        <v>Missing</v>
      </c>
      <c r="K108" t="str">
        <f t="shared" si="4"/>
        <v>Missing</v>
      </c>
      <c r="L108" t="str">
        <f t="shared" si="5"/>
        <v>Missing</v>
      </c>
      <c r="M108" t="str" cm="1">
        <f t="array" ref="M108">IF(D108="","Missing",_xlfn.IFS(D108&gt;=90,"A",D108&gt;=75,"B",D108&gt;=50,"C",TRUE,"F"))</f>
        <v>Missing</v>
      </c>
    </row>
    <row r="109" spans="1:13" x14ac:dyDescent="0.3">
      <c r="A109">
        <v>2107</v>
      </c>
      <c r="B109" t="s">
        <v>22</v>
      </c>
      <c r="C109" t="s">
        <v>10</v>
      </c>
      <c r="D109">
        <v>42</v>
      </c>
      <c r="F109">
        <v>48201</v>
      </c>
      <c r="G109">
        <v>6</v>
      </c>
      <c r="H109" t="s">
        <v>23</v>
      </c>
      <c r="I109" t="s">
        <v>36</v>
      </c>
      <c r="J109" t="str">
        <f t="shared" si="3"/>
        <v>Pass</v>
      </c>
      <c r="K109" t="str">
        <f t="shared" si="4"/>
        <v>Missing</v>
      </c>
      <c r="L109" t="str">
        <f t="shared" si="5"/>
        <v>Missing</v>
      </c>
      <c r="M109" t="str" cm="1">
        <f t="array" ref="M109">IF(D109="","Missing",_xlfn.IFS(D109&gt;=90,"A",D109&gt;=75,"B",D109&gt;=50,"C",TRUE,"F"))</f>
        <v>F</v>
      </c>
    </row>
    <row r="110" spans="1:13" x14ac:dyDescent="0.3">
      <c r="A110">
        <v>2108</v>
      </c>
      <c r="B110" t="s">
        <v>29</v>
      </c>
      <c r="C110" t="s">
        <v>25</v>
      </c>
      <c r="D110" t="s">
        <v>30</v>
      </c>
      <c r="E110">
        <v>82</v>
      </c>
      <c r="F110" t="s">
        <v>30</v>
      </c>
      <c r="G110">
        <v>11</v>
      </c>
      <c r="H110" t="s">
        <v>14</v>
      </c>
      <c r="I110" t="s">
        <v>41</v>
      </c>
      <c r="J110" t="str">
        <f t="shared" si="3"/>
        <v>Missing</v>
      </c>
      <c r="K110" t="str">
        <f t="shared" si="4"/>
        <v>Missing</v>
      </c>
      <c r="L110" t="str">
        <f t="shared" si="5"/>
        <v>Missing</v>
      </c>
      <c r="M110" t="str" cm="1">
        <f t="array" ref="M110">IF(D110="","Missing",_xlfn.IFS(D110&gt;=90,"A",D110&gt;=75,"B",D110&gt;=50,"C",TRUE,"F"))</f>
        <v>Missing</v>
      </c>
    </row>
    <row r="111" spans="1:13" x14ac:dyDescent="0.3">
      <c r="A111">
        <v>2109</v>
      </c>
      <c r="B111" t="s">
        <v>22</v>
      </c>
      <c r="C111" t="s">
        <v>18</v>
      </c>
      <c r="D111" t="s">
        <v>30</v>
      </c>
      <c r="E111">
        <v>17</v>
      </c>
      <c r="F111">
        <v>42871</v>
      </c>
      <c r="G111">
        <v>4</v>
      </c>
      <c r="H111" t="s">
        <v>21</v>
      </c>
      <c r="I111" t="s">
        <v>36</v>
      </c>
      <c r="J111" t="str">
        <f t="shared" si="3"/>
        <v>Missing</v>
      </c>
      <c r="K111" t="str">
        <f t="shared" si="4"/>
        <v>Missing</v>
      </c>
      <c r="L111" t="str">
        <f t="shared" si="5"/>
        <v>Missing</v>
      </c>
      <c r="M111" t="str" cm="1">
        <f t="array" ref="M111">IF(D111="","Missing",_xlfn.IFS(D111&gt;=90,"A",D111&gt;=75,"B",D111&gt;=50,"C",TRUE,"F"))</f>
        <v>Missing</v>
      </c>
    </row>
    <row r="112" spans="1:13" x14ac:dyDescent="0.3">
      <c r="A112">
        <v>2110</v>
      </c>
      <c r="B112" t="s">
        <v>24</v>
      </c>
      <c r="C112" t="s">
        <v>13</v>
      </c>
      <c r="D112" t="s">
        <v>30</v>
      </c>
      <c r="F112">
        <v>52700</v>
      </c>
      <c r="G112">
        <v>11</v>
      </c>
      <c r="H112" t="s">
        <v>19</v>
      </c>
      <c r="I112" t="s">
        <v>37</v>
      </c>
      <c r="J112" t="str">
        <f t="shared" si="3"/>
        <v>Missing</v>
      </c>
      <c r="K112" t="str">
        <f t="shared" si="4"/>
        <v>Missing</v>
      </c>
      <c r="L112" t="str">
        <f t="shared" si="5"/>
        <v>Missing</v>
      </c>
      <c r="M112" t="str" cm="1">
        <f t="array" ref="M112">IF(D112="","Missing",_xlfn.IFS(D112&gt;=90,"A",D112&gt;=75,"B",D112&gt;=50,"C",TRUE,"F"))</f>
        <v>Missing</v>
      </c>
    </row>
    <row r="113" spans="1:13" x14ac:dyDescent="0.3">
      <c r="A113">
        <v>2111</v>
      </c>
      <c r="B113" t="s">
        <v>29</v>
      </c>
      <c r="C113" t="s">
        <v>25</v>
      </c>
      <c r="D113" t="s">
        <v>30</v>
      </c>
      <c r="F113">
        <v>62450</v>
      </c>
      <c r="G113">
        <v>5</v>
      </c>
      <c r="H113" t="s">
        <v>14</v>
      </c>
      <c r="I113" t="s">
        <v>41</v>
      </c>
      <c r="J113" t="str">
        <f t="shared" si="3"/>
        <v>Missing</v>
      </c>
      <c r="K113" t="str">
        <f t="shared" si="4"/>
        <v>Missing</v>
      </c>
      <c r="L113" t="str">
        <f t="shared" si="5"/>
        <v>Missing</v>
      </c>
      <c r="M113" t="str" cm="1">
        <f t="array" ref="M113">IF(D113="","Missing",_xlfn.IFS(D113&gt;=90,"A",D113&gt;=75,"B",D113&gt;=50,"C",TRUE,"F"))</f>
        <v>Missing</v>
      </c>
    </row>
    <row r="114" spans="1:13" x14ac:dyDescent="0.3">
      <c r="A114">
        <v>2112</v>
      </c>
      <c r="B114" t="s">
        <v>15</v>
      </c>
      <c r="C114" t="s">
        <v>10</v>
      </c>
      <c r="D114" t="s">
        <v>30</v>
      </c>
      <c r="E114">
        <v>54</v>
      </c>
      <c r="F114">
        <v>75824</v>
      </c>
      <c r="G114">
        <v>0</v>
      </c>
      <c r="H114" t="s">
        <v>11</v>
      </c>
      <c r="I114" t="s">
        <v>33</v>
      </c>
      <c r="J114" t="str">
        <f t="shared" si="3"/>
        <v>Missing</v>
      </c>
      <c r="K114" t="str">
        <f t="shared" si="4"/>
        <v>Missing</v>
      </c>
      <c r="L114" t="str">
        <f t="shared" si="5"/>
        <v>Missing</v>
      </c>
      <c r="M114" t="str" cm="1">
        <f t="array" ref="M114">IF(D114="","Missing",_xlfn.IFS(D114&gt;=90,"A",D114&gt;=75,"B",D114&gt;=50,"C",TRUE,"F"))</f>
        <v>Missing</v>
      </c>
    </row>
    <row r="115" spans="1:13" x14ac:dyDescent="0.3">
      <c r="A115">
        <v>2113</v>
      </c>
      <c r="B115" t="s">
        <v>22</v>
      </c>
      <c r="C115" t="s">
        <v>25</v>
      </c>
      <c r="D115" t="s">
        <v>30</v>
      </c>
      <c r="F115" t="s">
        <v>30</v>
      </c>
      <c r="G115">
        <v>11</v>
      </c>
      <c r="H115" t="s">
        <v>23</v>
      </c>
      <c r="I115" t="s">
        <v>36</v>
      </c>
      <c r="J115" t="str">
        <f t="shared" si="3"/>
        <v>Missing</v>
      </c>
      <c r="K115" t="str">
        <f t="shared" si="4"/>
        <v>Missing</v>
      </c>
      <c r="L115" t="str">
        <f t="shared" si="5"/>
        <v>Missing</v>
      </c>
      <c r="M115" t="str" cm="1">
        <f t="array" ref="M115">IF(D115="","Missing",_xlfn.IFS(D115&gt;=90,"A",D115&gt;=75,"B",D115&gt;=50,"C",TRUE,"F"))</f>
        <v>Missing</v>
      </c>
    </row>
    <row r="116" spans="1:13" x14ac:dyDescent="0.3">
      <c r="A116">
        <v>2114</v>
      </c>
      <c r="B116" t="s">
        <v>27</v>
      </c>
      <c r="C116" t="s">
        <v>18</v>
      </c>
      <c r="D116">
        <v>80</v>
      </c>
      <c r="E116">
        <v>13</v>
      </c>
      <c r="F116" t="s">
        <v>30</v>
      </c>
      <c r="G116">
        <v>1</v>
      </c>
      <c r="H116" t="s">
        <v>19</v>
      </c>
      <c r="I116" t="s">
        <v>39</v>
      </c>
      <c r="J116" t="str">
        <f t="shared" si="3"/>
        <v>Pass</v>
      </c>
      <c r="K116" t="str">
        <f t="shared" si="4"/>
        <v>Not Eligible</v>
      </c>
      <c r="L116" t="str">
        <f t="shared" si="5"/>
        <v>Risk</v>
      </c>
      <c r="M116" t="str" cm="1">
        <f t="array" ref="M116">IF(D116="","Missing",_xlfn.IFS(D116&gt;=90,"A",D116&gt;=75,"B",D116&gt;=50,"C",TRUE,"F"))</f>
        <v>B</v>
      </c>
    </row>
    <row r="117" spans="1:13" x14ac:dyDescent="0.3">
      <c r="A117">
        <v>2115</v>
      </c>
      <c r="B117" t="s">
        <v>9</v>
      </c>
      <c r="C117" t="s">
        <v>16</v>
      </c>
      <c r="D117" t="s">
        <v>30</v>
      </c>
      <c r="E117">
        <v>19</v>
      </c>
      <c r="F117" t="s">
        <v>30</v>
      </c>
      <c r="G117">
        <v>10</v>
      </c>
      <c r="H117" t="s">
        <v>11</v>
      </c>
      <c r="I117" t="s">
        <v>31</v>
      </c>
      <c r="J117" t="str">
        <f t="shared" si="3"/>
        <v>Missing</v>
      </c>
      <c r="K117" t="str">
        <f t="shared" si="4"/>
        <v>Missing</v>
      </c>
      <c r="L117" t="str">
        <f t="shared" si="5"/>
        <v>Missing</v>
      </c>
      <c r="M117" t="str" cm="1">
        <f t="array" ref="M117">IF(D117="","Missing",_xlfn.IFS(D117&gt;=90,"A",D117&gt;=75,"B",D117&gt;=50,"C",TRUE,"F"))</f>
        <v>Missing</v>
      </c>
    </row>
    <row r="118" spans="1:13" x14ac:dyDescent="0.3">
      <c r="A118">
        <v>2116</v>
      </c>
      <c r="B118" t="s">
        <v>24</v>
      </c>
      <c r="C118" t="s">
        <v>10</v>
      </c>
      <c r="D118" t="s">
        <v>30</v>
      </c>
      <c r="E118">
        <v>54</v>
      </c>
      <c r="F118">
        <v>78293</v>
      </c>
      <c r="G118">
        <v>2</v>
      </c>
      <c r="H118" t="s">
        <v>11</v>
      </c>
      <c r="I118" t="s">
        <v>37</v>
      </c>
      <c r="J118" t="str">
        <f t="shared" si="3"/>
        <v>Missing</v>
      </c>
      <c r="K118" t="str">
        <f t="shared" si="4"/>
        <v>Missing</v>
      </c>
      <c r="L118" t="str">
        <f t="shared" si="5"/>
        <v>Missing</v>
      </c>
      <c r="M118" t="str" cm="1">
        <f t="array" ref="M118">IF(D118="","Missing",_xlfn.IFS(D118&gt;=90,"A",D118&gt;=75,"B",D118&gt;=50,"C",TRUE,"F"))</f>
        <v>Missing</v>
      </c>
    </row>
    <row r="119" spans="1:13" x14ac:dyDescent="0.3">
      <c r="A119">
        <v>2117</v>
      </c>
      <c r="B119" t="s">
        <v>22</v>
      </c>
      <c r="C119" t="s">
        <v>25</v>
      </c>
      <c r="D119" t="s">
        <v>30</v>
      </c>
      <c r="F119" t="s">
        <v>30</v>
      </c>
      <c r="G119">
        <v>1</v>
      </c>
      <c r="H119" t="s">
        <v>23</v>
      </c>
      <c r="I119" t="s">
        <v>36</v>
      </c>
      <c r="J119" t="str">
        <f t="shared" si="3"/>
        <v>Missing</v>
      </c>
      <c r="K119" t="str">
        <f t="shared" si="4"/>
        <v>Missing</v>
      </c>
      <c r="L119" t="str">
        <f t="shared" si="5"/>
        <v>Missing</v>
      </c>
      <c r="M119" t="str" cm="1">
        <f t="array" ref="M119">IF(D119="","Missing",_xlfn.IFS(D119&gt;=90,"A",D119&gt;=75,"B",D119&gt;=50,"C",TRUE,"F"))</f>
        <v>Missing</v>
      </c>
    </row>
    <row r="120" spans="1:13" x14ac:dyDescent="0.3">
      <c r="A120">
        <v>2118</v>
      </c>
      <c r="B120" t="s">
        <v>9</v>
      </c>
      <c r="C120" t="s">
        <v>10</v>
      </c>
      <c r="D120" t="s">
        <v>30</v>
      </c>
      <c r="E120">
        <v>4</v>
      </c>
      <c r="F120" t="s">
        <v>30</v>
      </c>
      <c r="G120">
        <v>7</v>
      </c>
      <c r="H120" t="s">
        <v>19</v>
      </c>
      <c r="I120" t="s">
        <v>31</v>
      </c>
      <c r="J120" t="str">
        <f t="shared" si="3"/>
        <v>Missing</v>
      </c>
      <c r="K120" t="str">
        <f t="shared" si="4"/>
        <v>Missing</v>
      </c>
      <c r="L120" t="str">
        <f t="shared" si="5"/>
        <v>Missing</v>
      </c>
      <c r="M120" t="str" cm="1">
        <f t="array" ref="M120">IF(D120="","Missing",_xlfn.IFS(D120&gt;=90,"A",D120&gt;=75,"B",D120&gt;=50,"C",TRUE,"F"))</f>
        <v>Missing</v>
      </c>
    </row>
    <row r="121" spans="1:13" x14ac:dyDescent="0.3">
      <c r="A121">
        <v>2119</v>
      </c>
      <c r="B121" t="s">
        <v>15</v>
      </c>
      <c r="C121" t="s">
        <v>13</v>
      </c>
      <c r="D121" t="s">
        <v>30</v>
      </c>
      <c r="F121" t="s">
        <v>30</v>
      </c>
      <c r="G121">
        <v>2</v>
      </c>
      <c r="H121" t="s">
        <v>21</v>
      </c>
      <c r="I121" t="s">
        <v>33</v>
      </c>
      <c r="J121" t="str">
        <f t="shared" si="3"/>
        <v>Missing</v>
      </c>
      <c r="K121" t="str">
        <f t="shared" si="4"/>
        <v>Missing</v>
      </c>
      <c r="L121" t="str">
        <f t="shared" si="5"/>
        <v>Missing</v>
      </c>
      <c r="M121" t="str" cm="1">
        <f t="array" ref="M121">IF(D121="","Missing",_xlfn.IFS(D121&gt;=90,"A",D121&gt;=75,"B",D121&gt;=50,"C",TRUE,"F"))</f>
        <v>Missing</v>
      </c>
    </row>
    <row r="122" spans="1:13" x14ac:dyDescent="0.3">
      <c r="A122">
        <v>2120</v>
      </c>
      <c r="B122" t="s">
        <v>27</v>
      </c>
      <c r="C122" t="s">
        <v>10</v>
      </c>
      <c r="D122" t="s">
        <v>30</v>
      </c>
      <c r="F122">
        <v>37017</v>
      </c>
      <c r="G122">
        <v>3</v>
      </c>
      <c r="H122" t="s">
        <v>21</v>
      </c>
      <c r="I122" t="s">
        <v>39</v>
      </c>
      <c r="J122" t="str">
        <f t="shared" si="3"/>
        <v>Missing</v>
      </c>
      <c r="K122" t="str">
        <f t="shared" si="4"/>
        <v>Missing</v>
      </c>
      <c r="L122" t="str">
        <f t="shared" si="5"/>
        <v>Missing</v>
      </c>
      <c r="M122" t="str" cm="1">
        <f t="array" ref="M122">IF(D122="","Missing",_xlfn.IFS(D122&gt;=90,"A",D122&gt;=75,"B",D122&gt;=50,"C",TRUE,"F"))</f>
        <v>Missing</v>
      </c>
    </row>
    <row r="123" spans="1:13" x14ac:dyDescent="0.3">
      <c r="A123">
        <v>2121</v>
      </c>
      <c r="B123" t="s">
        <v>22</v>
      </c>
      <c r="C123" t="s">
        <v>18</v>
      </c>
      <c r="D123">
        <v>49</v>
      </c>
      <c r="E123">
        <v>10</v>
      </c>
      <c r="F123">
        <v>96413</v>
      </c>
      <c r="G123">
        <v>3</v>
      </c>
      <c r="H123" t="s">
        <v>21</v>
      </c>
      <c r="I123" t="s">
        <v>36</v>
      </c>
      <c r="J123" t="str">
        <f t="shared" si="3"/>
        <v>Pass</v>
      </c>
      <c r="K123" t="str">
        <f t="shared" si="4"/>
        <v>Not Eligible</v>
      </c>
      <c r="L123" t="str">
        <f t="shared" si="5"/>
        <v>Risk</v>
      </c>
      <c r="M123" t="str" cm="1">
        <f t="array" ref="M123">IF(D123="","Missing",_xlfn.IFS(D123&gt;=90,"A",D123&gt;=75,"B",D123&gt;=50,"C",TRUE,"F"))</f>
        <v>F</v>
      </c>
    </row>
    <row r="124" spans="1:13" x14ac:dyDescent="0.3">
      <c r="A124">
        <v>2122</v>
      </c>
      <c r="B124" t="s">
        <v>20</v>
      </c>
      <c r="C124" t="s">
        <v>25</v>
      </c>
      <c r="D124" t="s">
        <v>30</v>
      </c>
      <c r="F124">
        <v>93628</v>
      </c>
      <c r="G124">
        <v>10</v>
      </c>
      <c r="H124" t="s">
        <v>11</v>
      </c>
      <c r="I124" t="s">
        <v>35</v>
      </c>
      <c r="J124" t="str">
        <f t="shared" si="3"/>
        <v>Missing</v>
      </c>
      <c r="K124" t="str">
        <f t="shared" si="4"/>
        <v>Missing</v>
      </c>
      <c r="L124" t="str">
        <f t="shared" si="5"/>
        <v>Missing</v>
      </c>
      <c r="M124" t="str" cm="1">
        <f t="array" ref="M124">IF(D124="","Missing",_xlfn.IFS(D124&gt;=90,"A",D124&gt;=75,"B",D124&gt;=50,"C",TRUE,"F"))</f>
        <v>Missing</v>
      </c>
    </row>
    <row r="125" spans="1:13" x14ac:dyDescent="0.3">
      <c r="A125">
        <v>2123</v>
      </c>
      <c r="B125" t="s">
        <v>26</v>
      </c>
      <c r="C125" t="s">
        <v>25</v>
      </c>
      <c r="D125" t="s">
        <v>30</v>
      </c>
      <c r="F125">
        <v>55041</v>
      </c>
      <c r="G125">
        <v>7</v>
      </c>
      <c r="H125" t="s">
        <v>21</v>
      </c>
      <c r="I125" t="s">
        <v>38</v>
      </c>
      <c r="J125" t="str">
        <f t="shared" si="3"/>
        <v>Missing</v>
      </c>
      <c r="K125" t="str">
        <f t="shared" si="4"/>
        <v>Missing</v>
      </c>
      <c r="L125" t="str">
        <f t="shared" si="5"/>
        <v>Missing</v>
      </c>
      <c r="M125" t="str" cm="1">
        <f t="array" ref="M125">IF(D125="","Missing",_xlfn.IFS(D125&gt;=90,"A",D125&gt;=75,"B",D125&gt;=50,"C",TRUE,"F"))</f>
        <v>Missing</v>
      </c>
    </row>
    <row r="126" spans="1:13" x14ac:dyDescent="0.3">
      <c r="A126">
        <v>2124</v>
      </c>
      <c r="B126" t="s">
        <v>20</v>
      </c>
      <c r="C126" t="s">
        <v>25</v>
      </c>
      <c r="D126" t="s">
        <v>30</v>
      </c>
      <c r="E126">
        <v>47</v>
      </c>
      <c r="F126" t="s">
        <v>30</v>
      </c>
      <c r="G126">
        <v>4</v>
      </c>
      <c r="H126" t="s">
        <v>19</v>
      </c>
      <c r="I126" t="s">
        <v>35</v>
      </c>
      <c r="J126" t="str">
        <f t="shared" si="3"/>
        <v>Missing</v>
      </c>
      <c r="K126" t="str">
        <f t="shared" si="4"/>
        <v>Missing</v>
      </c>
      <c r="L126" t="str">
        <f t="shared" si="5"/>
        <v>Missing</v>
      </c>
      <c r="M126" t="str" cm="1">
        <f t="array" ref="M126">IF(D126="","Missing",_xlfn.IFS(D126&gt;=90,"A",D126&gt;=75,"B",D126&gt;=50,"C",TRUE,"F"))</f>
        <v>Missing</v>
      </c>
    </row>
    <row r="127" spans="1:13" x14ac:dyDescent="0.3">
      <c r="A127">
        <v>2125</v>
      </c>
      <c r="B127" t="s">
        <v>27</v>
      </c>
      <c r="C127" t="s">
        <v>13</v>
      </c>
      <c r="D127" t="s">
        <v>30</v>
      </c>
      <c r="F127" t="s">
        <v>30</v>
      </c>
      <c r="G127">
        <v>9</v>
      </c>
      <c r="H127" t="s">
        <v>19</v>
      </c>
      <c r="I127" t="s">
        <v>39</v>
      </c>
      <c r="J127" t="str">
        <f t="shared" si="3"/>
        <v>Missing</v>
      </c>
      <c r="K127" t="str">
        <f t="shared" si="4"/>
        <v>Missing</v>
      </c>
      <c r="L127" t="str">
        <f t="shared" si="5"/>
        <v>Missing</v>
      </c>
      <c r="M127" t="str" cm="1">
        <f t="array" ref="M127">IF(D127="","Missing",_xlfn.IFS(D127&gt;=90,"A",D127&gt;=75,"B",D127&gt;=50,"C",TRUE,"F"))</f>
        <v>Missing</v>
      </c>
    </row>
    <row r="128" spans="1:13" x14ac:dyDescent="0.3">
      <c r="A128">
        <v>2126</v>
      </c>
      <c r="B128" t="s">
        <v>22</v>
      </c>
      <c r="C128" t="s">
        <v>13</v>
      </c>
      <c r="D128" t="s">
        <v>30</v>
      </c>
      <c r="E128">
        <v>80</v>
      </c>
      <c r="F128" t="s">
        <v>30</v>
      </c>
      <c r="G128">
        <v>0</v>
      </c>
      <c r="H128" t="s">
        <v>11</v>
      </c>
      <c r="I128" t="s">
        <v>36</v>
      </c>
      <c r="J128" t="str">
        <f t="shared" si="3"/>
        <v>Missing</v>
      </c>
      <c r="K128" t="str">
        <f t="shared" si="4"/>
        <v>Missing</v>
      </c>
      <c r="L128" t="str">
        <f t="shared" si="5"/>
        <v>Missing</v>
      </c>
      <c r="M128" t="str" cm="1">
        <f t="array" ref="M128">IF(D128="","Missing",_xlfn.IFS(D128&gt;=90,"A",D128&gt;=75,"B",D128&gt;=50,"C",TRUE,"F"))</f>
        <v>Missing</v>
      </c>
    </row>
    <row r="129" spans="1:13" x14ac:dyDescent="0.3">
      <c r="A129">
        <v>2127</v>
      </c>
      <c r="B129" t="s">
        <v>22</v>
      </c>
      <c r="C129" t="s">
        <v>10</v>
      </c>
      <c r="D129" t="s">
        <v>30</v>
      </c>
      <c r="E129">
        <v>25</v>
      </c>
      <c r="F129" t="s">
        <v>30</v>
      </c>
      <c r="G129">
        <v>9</v>
      </c>
      <c r="H129" t="s">
        <v>21</v>
      </c>
      <c r="I129" t="s">
        <v>36</v>
      </c>
      <c r="J129" t="str">
        <f t="shared" si="3"/>
        <v>Missing</v>
      </c>
      <c r="K129" t="str">
        <f t="shared" si="4"/>
        <v>Missing</v>
      </c>
      <c r="L129" t="str">
        <f t="shared" si="5"/>
        <v>Missing</v>
      </c>
      <c r="M129" t="str" cm="1">
        <f t="array" ref="M129">IF(D129="","Missing",_xlfn.IFS(D129&gt;=90,"A",D129&gt;=75,"B",D129&gt;=50,"C",TRUE,"F"))</f>
        <v>Missing</v>
      </c>
    </row>
    <row r="130" spans="1:13" x14ac:dyDescent="0.3">
      <c r="A130">
        <v>2128</v>
      </c>
      <c r="B130" t="s">
        <v>17</v>
      </c>
      <c r="C130" t="s">
        <v>16</v>
      </c>
      <c r="D130">
        <v>94</v>
      </c>
      <c r="F130" t="s">
        <v>30</v>
      </c>
      <c r="G130">
        <v>1</v>
      </c>
      <c r="H130" t="s">
        <v>19</v>
      </c>
      <c r="I130" t="s">
        <v>34</v>
      </c>
      <c r="J130" t="str">
        <f t="shared" si="3"/>
        <v>Pass</v>
      </c>
      <c r="K130" t="str">
        <f t="shared" si="4"/>
        <v>Missing</v>
      </c>
      <c r="L130" t="str">
        <f t="shared" si="5"/>
        <v>Missing</v>
      </c>
      <c r="M130" t="str" cm="1">
        <f t="array" ref="M130">IF(D130="","Missing",_xlfn.IFS(D130&gt;=90,"A",D130&gt;=75,"B",D130&gt;=50,"C",TRUE,"F"))</f>
        <v>A</v>
      </c>
    </row>
    <row r="131" spans="1:13" x14ac:dyDescent="0.3">
      <c r="A131">
        <v>2129</v>
      </c>
      <c r="B131" t="s">
        <v>20</v>
      </c>
      <c r="C131" t="s">
        <v>13</v>
      </c>
      <c r="D131">
        <v>32</v>
      </c>
      <c r="F131" t="s">
        <v>30</v>
      </c>
      <c r="G131">
        <v>6</v>
      </c>
      <c r="H131" t="s">
        <v>14</v>
      </c>
      <c r="I131" t="s">
        <v>35</v>
      </c>
      <c r="J131" t="str">
        <f t="shared" ref="J131:J194" si="6">IF(D131="","Missing",IF(D131&gt;=40,"Pass","Fail"))</f>
        <v>Fail</v>
      </c>
      <c r="K131" t="str">
        <f t="shared" ref="K131:K194" si="7">IF(OR(D131="",E131=""),"Missing",IF(AND(D131&gt;=40,E131&gt;=75),"Eligible","Not Eligible"))</f>
        <v>Missing</v>
      </c>
      <c r="L131" t="str">
        <f t="shared" ref="L131:L194" si="8">IF(OR(D131="",E131=""),"Missing",IF(OR(D131&lt;30,E131&lt;50),"Risk","Normal"))</f>
        <v>Missing</v>
      </c>
      <c r="M131" t="str" cm="1">
        <f t="array" ref="M131">IF(D131="","Missing",_xlfn.IFS(D131&gt;=90,"A",D131&gt;=75,"B",D131&gt;=50,"C",TRUE,"F"))</f>
        <v>F</v>
      </c>
    </row>
    <row r="132" spans="1:13" x14ac:dyDescent="0.3">
      <c r="A132">
        <v>2130</v>
      </c>
      <c r="B132" t="s">
        <v>15</v>
      </c>
      <c r="C132" t="s">
        <v>10</v>
      </c>
      <c r="D132" t="s">
        <v>30</v>
      </c>
      <c r="E132">
        <v>10</v>
      </c>
      <c r="F132">
        <v>72230</v>
      </c>
      <c r="G132">
        <v>7</v>
      </c>
      <c r="H132" t="s">
        <v>19</v>
      </c>
      <c r="I132" t="s">
        <v>33</v>
      </c>
      <c r="J132" t="str">
        <f t="shared" si="6"/>
        <v>Missing</v>
      </c>
      <c r="K132" t="str">
        <f t="shared" si="7"/>
        <v>Missing</v>
      </c>
      <c r="L132" t="str">
        <f t="shared" si="8"/>
        <v>Missing</v>
      </c>
      <c r="M132" t="str" cm="1">
        <f t="array" ref="M132">IF(D132="","Missing",_xlfn.IFS(D132&gt;=90,"A",D132&gt;=75,"B",D132&gt;=50,"C",TRUE,"F"))</f>
        <v>Missing</v>
      </c>
    </row>
    <row r="133" spans="1:13" x14ac:dyDescent="0.3">
      <c r="A133">
        <v>2131</v>
      </c>
      <c r="B133" t="s">
        <v>29</v>
      </c>
      <c r="C133" t="s">
        <v>13</v>
      </c>
      <c r="D133" t="s">
        <v>30</v>
      </c>
      <c r="E133">
        <v>83</v>
      </c>
      <c r="F133" t="s">
        <v>30</v>
      </c>
      <c r="G133">
        <v>12</v>
      </c>
      <c r="H133" t="s">
        <v>19</v>
      </c>
      <c r="I133" t="s">
        <v>41</v>
      </c>
      <c r="J133" t="str">
        <f t="shared" si="6"/>
        <v>Missing</v>
      </c>
      <c r="K133" t="str">
        <f t="shared" si="7"/>
        <v>Missing</v>
      </c>
      <c r="L133" t="str">
        <f t="shared" si="8"/>
        <v>Missing</v>
      </c>
      <c r="M133" t="str" cm="1">
        <f t="array" ref="M133">IF(D133="","Missing",_xlfn.IFS(D133&gt;=90,"A",D133&gt;=75,"B",D133&gt;=50,"C",TRUE,"F"))</f>
        <v>Missing</v>
      </c>
    </row>
    <row r="134" spans="1:13" x14ac:dyDescent="0.3">
      <c r="A134">
        <v>2132</v>
      </c>
      <c r="B134" t="s">
        <v>24</v>
      </c>
      <c r="C134" t="s">
        <v>16</v>
      </c>
      <c r="D134">
        <v>66</v>
      </c>
      <c r="F134" t="s">
        <v>30</v>
      </c>
      <c r="G134">
        <v>11</v>
      </c>
      <c r="H134" t="s">
        <v>11</v>
      </c>
      <c r="I134" t="s">
        <v>37</v>
      </c>
      <c r="J134" t="str">
        <f t="shared" si="6"/>
        <v>Pass</v>
      </c>
      <c r="K134" t="str">
        <f t="shared" si="7"/>
        <v>Missing</v>
      </c>
      <c r="L134" t="str">
        <f t="shared" si="8"/>
        <v>Missing</v>
      </c>
      <c r="M134" t="str" cm="1">
        <f t="array" ref="M134">IF(D134="","Missing",_xlfn.IFS(D134&gt;=90,"A",D134&gt;=75,"B",D134&gt;=50,"C",TRUE,"F"))</f>
        <v>C</v>
      </c>
    </row>
    <row r="135" spans="1:13" x14ac:dyDescent="0.3">
      <c r="A135">
        <v>2133</v>
      </c>
      <c r="B135" t="s">
        <v>22</v>
      </c>
      <c r="C135" t="s">
        <v>18</v>
      </c>
      <c r="D135" t="s">
        <v>30</v>
      </c>
      <c r="E135">
        <v>76</v>
      </c>
      <c r="F135" t="s">
        <v>30</v>
      </c>
      <c r="G135">
        <v>1</v>
      </c>
      <c r="H135" t="s">
        <v>19</v>
      </c>
      <c r="I135" t="s">
        <v>36</v>
      </c>
      <c r="J135" t="str">
        <f t="shared" si="6"/>
        <v>Missing</v>
      </c>
      <c r="K135" t="str">
        <f t="shared" si="7"/>
        <v>Missing</v>
      </c>
      <c r="L135" t="str">
        <f t="shared" si="8"/>
        <v>Missing</v>
      </c>
      <c r="M135" t="str" cm="1">
        <f t="array" ref="M135">IF(D135="","Missing",_xlfn.IFS(D135&gt;=90,"A",D135&gt;=75,"B",D135&gt;=50,"C",TRUE,"F"))</f>
        <v>Missing</v>
      </c>
    </row>
    <row r="136" spans="1:13" x14ac:dyDescent="0.3">
      <c r="A136">
        <v>2134</v>
      </c>
      <c r="B136" t="s">
        <v>29</v>
      </c>
      <c r="C136" t="s">
        <v>10</v>
      </c>
      <c r="D136" t="s">
        <v>30</v>
      </c>
      <c r="F136" t="s">
        <v>30</v>
      </c>
      <c r="G136">
        <v>7</v>
      </c>
      <c r="H136" t="s">
        <v>19</v>
      </c>
      <c r="I136" t="s">
        <v>41</v>
      </c>
      <c r="J136" t="str">
        <f t="shared" si="6"/>
        <v>Missing</v>
      </c>
      <c r="K136" t="str">
        <f t="shared" si="7"/>
        <v>Missing</v>
      </c>
      <c r="L136" t="str">
        <f t="shared" si="8"/>
        <v>Missing</v>
      </c>
      <c r="M136" t="str" cm="1">
        <f t="array" ref="M136">IF(D136="","Missing",_xlfn.IFS(D136&gt;=90,"A",D136&gt;=75,"B",D136&gt;=50,"C",TRUE,"F"))</f>
        <v>Missing</v>
      </c>
    </row>
    <row r="137" spans="1:13" x14ac:dyDescent="0.3">
      <c r="A137">
        <v>2135</v>
      </c>
      <c r="B137" t="s">
        <v>20</v>
      </c>
      <c r="C137" t="s">
        <v>18</v>
      </c>
      <c r="D137" t="s">
        <v>30</v>
      </c>
      <c r="F137">
        <v>21736</v>
      </c>
      <c r="G137">
        <v>6</v>
      </c>
      <c r="H137" t="s">
        <v>14</v>
      </c>
      <c r="I137" t="s">
        <v>35</v>
      </c>
      <c r="J137" t="str">
        <f t="shared" si="6"/>
        <v>Missing</v>
      </c>
      <c r="K137" t="str">
        <f t="shared" si="7"/>
        <v>Missing</v>
      </c>
      <c r="L137" t="str">
        <f t="shared" si="8"/>
        <v>Missing</v>
      </c>
      <c r="M137" t="str" cm="1">
        <f t="array" ref="M137">IF(D137="","Missing",_xlfn.IFS(D137&gt;=90,"A",D137&gt;=75,"B",D137&gt;=50,"C",TRUE,"F"))</f>
        <v>Missing</v>
      </c>
    </row>
    <row r="138" spans="1:13" x14ac:dyDescent="0.3">
      <c r="A138">
        <v>2136</v>
      </c>
      <c r="B138" t="s">
        <v>15</v>
      </c>
      <c r="C138" t="s">
        <v>18</v>
      </c>
      <c r="D138" t="s">
        <v>30</v>
      </c>
      <c r="F138" t="s">
        <v>30</v>
      </c>
      <c r="G138">
        <v>0</v>
      </c>
      <c r="H138" t="s">
        <v>11</v>
      </c>
      <c r="I138" t="s">
        <v>33</v>
      </c>
      <c r="J138" t="str">
        <f t="shared" si="6"/>
        <v>Missing</v>
      </c>
      <c r="K138" t="str">
        <f t="shared" si="7"/>
        <v>Missing</v>
      </c>
      <c r="L138" t="str">
        <f t="shared" si="8"/>
        <v>Missing</v>
      </c>
      <c r="M138" t="str" cm="1">
        <f t="array" ref="M138">IF(D138="","Missing",_xlfn.IFS(D138&gt;=90,"A",D138&gt;=75,"B",D138&gt;=50,"C",TRUE,"F"))</f>
        <v>Missing</v>
      </c>
    </row>
    <row r="139" spans="1:13" x14ac:dyDescent="0.3">
      <c r="A139">
        <v>2137</v>
      </c>
      <c r="B139" t="s">
        <v>9</v>
      </c>
      <c r="C139" t="s">
        <v>16</v>
      </c>
      <c r="D139">
        <v>95</v>
      </c>
      <c r="E139">
        <v>49</v>
      </c>
      <c r="F139" t="s">
        <v>30</v>
      </c>
      <c r="G139">
        <v>4</v>
      </c>
      <c r="H139" t="s">
        <v>23</v>
      </c>
      <c r="I139" t="s">
        <v>31</v>
      </c>
      <c r="J139" t="str">
        <f t="shared" si="6"/>
        <v>Pass</v>
      </c>
      <c r="K139" t="str">
        <f t="shared" si="7"/>
        <v>Not Eligible</v>
      </c>
      <c r="L139" t="str">
        <f t="shared" si="8"/>
        <v>Risk</v>
      </c>
      <c r="M139" t="str" cm="1">
        <f t="array" ref="M139">IF(D139="","Missing",_xlfn.IFS(D139&gt;=90,"A",D139&gt;=75,"B",D139&gt;=50,"C",TRUE,"F"))</f>
        <v>A</v>
      </c>
    </row>
    <row r="140" spans="1:13" x14ac:dyDescent="0.3">
      <c r="A140">
        <v>2138</v>
      </c>
      <c r="B140" t="s">
        <v>29</v>
      </c>
      <c r="C140" t="s">
        <v>13</v>
      </c>
      <c r="D140">
        <v>63</v>
      </c>
      <c r="E140">
        <v>21</v>
      </c>
      <c r="F140" t="s">
        <v>30</v>
      </c>
      <c r="G140">
        <v>7</v>
      </c>
      <c r="H140" t="s">
        <v>23</v>
      </c>
      <c r="I140" t="s">
        <v>41</v>
      </c>
      <c r="J140" t="str">
        <f t="shared" si="6"/>
        <v>Pass</v>
      </c>
      <c r="K140" t="str">
        <f t="shared" si="7"/>
        <v>Not Eligible</v>
      </c>
      <c r="L140" t="str">
        <f t="shared" si="8"/>
        <v>Risk</v>
      </c>
      <c r="M140" t="str" cm="1">
        <f t="array" ref="M140">IF(D140="","Missing",_xlfn.IFS(D140&gt;=90,"A",D140&gt;=75,"B",D140&gt;=50,"C",TRUE,"F"))</f>
        <v>C</v>
      </c>
    </row>
    <row r="141" spans="1:13" x14ac:dyDescent="0.3">
      <c r="A141">
        <v>2139</v>
      </c>
      <c r="B141" t="s">
        <v>27</v>
      </c>
      <c r="C141" t="s">
        <v>13</v>
      </c>
      <c r="D141" t="s">
        <v>30</v>
      </c>
      <c r="E141">
        <v>88</v>
      </c>
      <c r="F141" t="s">
        <v>30</v>
      </c>
      <c r="G141">
        <v>1</v>
      </c>
      <c r="H141" t="s">
        <v>21</v>
      </c>
      <c r="I141" t="s">
        <v>39</v>
      </c>
      <c r="J141" t="str">
        <f t="shared" si="6"/>
        <v>Missing</v>
      </c>
      <c r="K141" t="str">
        <f t="shared" si="7"/>
        <v>Missing</v>
      </c>
      <c r="L141" t="str">
        <f t="shared" si="8"/>
        <v>Missing</v>
      </c>
      <c r="M141" t="str" cm="1">
        <f t="array" ref="M141">IF(D141="","Missing",_xlfn.IFS(D141&gt;=90,"A",D141&gt;=75,"B",D141&gt;=50,"C",TRUE,"F"))</f>
        <v>Missing</v>
      </c>
    </row>
    <row r="142" spans="1:13" x14ac:dyDescent="0.3">
      <c r="A142">
        <v>2140</v>
      </c>
      <c r="B142" t="s">
        <v>26</v>
      </c>
      <c r="C142" t="s">
        <v>16</v>
      </c>
      <c r="D142" t="s">
        <v>30</v>
      </c>
      <c r="F142">
        <v>25656</v>
      </c>
      <c r="G142">
        <v>8</v>
      </c>
      <c r="H142" t="s">
        <v>19</v>
      </c>
      <c r="I142" t="s">
        <v>38</v>
      </c>
      <c r="J142" t="str">
        <f t="shared" si="6"/>
        <v>Missing</v>
      </c>
      <c r="K142" t="str">
        <f t="shared" si="7"/>
        <v>Missing</v>
      </c>
      <c r="L142" t="str">
        <f t="shared" si="8"/>
        <v>Missing</v>
      </c>
      <c r="M142" t="str" cm="1">
        <f t="array" ref="M142">IF(D142="","Missing",_xlfn.IFS(D142&gt;=90,"A",D142&gt;=75,"B",D142&gt;=50,"C",TRUE,"F"))</f>
        <v>Missing</v>
      </c>
    </row>
    <row r="143" spans="1:13" x14ac:dyDescent="0.3">
      <c r="A143">
        <v>2141</v>
      </c>
      <c r="B143" t="s">
        <v>22</v>
      </c>
      <c r="C143" t="s">
        <v>13</v>
      </c>
      <c r="D143" t="s">
        <v>30</v>
      </c>
      <c r="F143" t="s">
        <v>30</v>
      </c>
      <c r="G143">
        <v>3</v>
      </c>
      <c r="H143" t="s">
        <v>14</v>
      </c>
      <c r="I143" t="s">
        <v>36</v>
      </c>
      <c r="J143" t="str">
        <f t="shared" si="6"/>
        <v>Missing</v>
      </c>
      <c r="K143" t="str">
        <f t="shared" si="7"/>
        <v>Missing</v>
      </c>
      <c r="L143" t="str">
        <f t="shared" si="8"/>
        <v>Missing</v>
      </c>
      <c r="M143" t="str" cm="1">
        <f t="array" ref="M143">IF(D143="","Missing",_xlfn.IFS(D143&gt;=90,"A",D143&gt;=75,"B",D143&gt;=50,"C",TRUE,"F"))</f>
        <v>Missing</v>
      </c>
    </row>
    <row r="144" spans="1:13" x14ac:dyDescent="0.3">
      <c r="A144">
        <v>2142</v>
      </c>
      <c r="B144" t="s">
        <v>26</v>
      </c>
      <c r="C144" t="s">
        <v>25</v>
      </c>
      <c r="D144" t="s">
        <v>30</v>
      </c>
      <c r="F144" t="s">
        <v>30</v>
      </c>
      <c r="G144">
        <v>8</v>
      </c>
      <c r="H144" t="s">
        <v>11</v>
      </c>
      <c r="I144" t="s">
        <v>38</v>
      </c>
      <c r="J144" t="str">
        <f t="shared" si="6"/>
        <v>Missing</v>
      </c>
      <c r="K144" t="str">
        <f t="shared" si="7"/>
        <v>Missing</v>
      </c>
      <c r="L144" t="str">
        <f t="shared" si="8"/>
        <v>Missing</v>
      </c>
      <c r="M144" t="str" cm="1">
        <f t="array" ref="M144">IF(D144="","Missing",_xlfn.IFS(D144&gt;=90,"A",D144&gt;=75,"B",D144&gt;=50,"C",TRUE,"F"))</f>
        <v>Missing</v>
      </c>
    </row>
    <row r="145" spans="1:13" x14ac:dyDescent="0.3">
      <c r="A145">
        <v>2143</v>
      </c>
      <c r="B145" t="s">
        <v>26</v>
      </c>
      <c r="C145" t="s">
        <v>25</v>
      </c>
      <c r="D145">
        <v>59</v>
      </c>
      <c r="E145">
        <v>23</v>
      </c>
      <c r="F145">
        <v>33352</v>
      </c>
      <c r="G145">
        <v>12</v>
      </c>
      <c r="H145" t="s">
        <v>11</v>
      </c>
      <c r="I145" t="s">
        <v>38</v>
      </c>
      <c r="J145" t="str">
        <f t="shared" si="6"/>
        <v>Pass</v>
      </c>
      <c r="K145" t="str">
        <f t="shared" si="7"/>
        <v>Not Eligible</v>
      </c>
      <c r="L145" t="str">
        <f t="shared" si="8"/>
        <v>Risk</v>
      </c>
      <c r="M145" t="str" cm="1">
        <f t="array" ref="M145">IF(D145="","Missing",_xlfn.IFS(D145&gt;=90,"A",D145&gt;=75,"B",D145&gt;=50,"C",TRUE,"F"))</f>
        <v>C</v>
      </c>
    </row>
    <row r="146" spans="1:13" x14ac:dyDescent="0.3">
      <c r="A146">
        <v>2144</v>
      </c>
      <c r="B146" t="s">
        <v>22</v>
      </c>
      <c r="C146" t="s">
        <v>18</v>
      </c>
      <c r="D146" t="s">
        <v>30</v>
      </c>
      <c r="F146">
        <v>45654</v>
      </c>
      <c r="G146">
        <v>10</v>
      </c>
      <c r="H146" t="s">
        <v>23</v>
      </c>
      <c r="I146" t="s">
        <v>36</v>
      </c>
      <c r="J146" t="str">
        <f t="shared" si="6"/>
        <v>Missing</v>
      </c>
      <c r="K146" t="str">
        <f t="shared" si="7"/>
        <v>Missing</v>
      </c>
      <c r="L146" t="str">
        <f t="shared" si="8"/>
        <v>Missing</v>
      </c>
      <c r="M146" t="str" cm="1">
        <f t="array" ref="M146">IF(D146="","Missing",_xlfn.IFS(D146&gt;=90,"A",D146&gt;=75,"B",D146&gt;=50,"C",TRUE,"F"))</f>
        <v>Missing</v>
      </c>
    </row>
    <row r="147" spans="1:13" x14ac:dyDescent="0.3">
      <c r="A147">
        <v>2145</v>
      </c>
      <c r="B147" t="s">
        <v>15</v>
      </c>
      <c r="C147" t="s">
        <v>18</v>
      </c>
      <c r="D147">
        <v>60</v>
      </c>
      <c r="E147">
        <v>58</v>
      </c>
      <c r="F147" t="s">
        <v>30</v>
      </c>
      <c r="G147">
        <v>3</v>
      </c>
      <c r="H147" t="s">
        <v>14</v>
      </c>
      <c r="I147" t="s">
        <v>33</v>
      </c>
      <c r="J147" t="str">
        <f t="shared" si="6"/>
        <v>Pass</v>
      </c>
      <c r="K147" t="str">
        <f t="shared" si="7"/>
        <v>Not Eligible</v>
      </c>
      <c r="L147" t="str">
        <f t="shared" si="8"/>
        <v>Normal</v>
      </c>
      <c r="M147" t="str" cm="1">
        <f t="array" ref="M147">IF(D147="","Missing",_xlfn.IFS(D147&gt;=90,"A",D147&gt;=75,"B",D147&gt;=50,"C",TRUE,"F"))</f>
        <v>C</v>
      </c>
    </row>
    <row r="148" spans="1:13" x14ac:dyDescent="0.3">
      <c r="A148">
        <v>2146</v>
      </c>
      <c r="B148" t="s">
        <v>28</v>
      </c>
      <c r="C148" t="s">
        <v>16</v>
      </c>
      <c r="D148" t="s">
        <v>30</v>
      </c>
      <c r="E148">
        <v>16</v>
      </c>
      <c r="F148" t="s">
        <v>30</v>
      </c>
      <c r="G148">
        <v>1</v>
      </c>
      <c r="H148" t="s">
        <v>14</v>
      </c>
      <c r="I148" t="s">
        <v>40</v>
      </c>
      <c r="J148" t="str">
        <f t="shared" si="6"/>
        <v>Missing</v>
      </c>
      <c r="K148" t="str">
        <f t="shared" si="7"/>
        <v>Missing</v>
      </c>
      <c r="L148" t="str">
        <f t="shared" si="8"/>
        <v>Missing</v>
      </c>
      <c r="M148" t="str" cm="1">
        <f t="array" ref="M148">IF(D148="","Missing",_xlfn.IFS(D148&gt;=90,"A",D148&gt;=75,"B",D148&gt;=50,"C",TRUE,"F"))</f>
        <v>Missing</v>
      </c>
    </row>
    <row r="149" spans="1:13" x14ac:dyDescent="0.3">
      <c r="A149">
        <v>2147</v>
      </c>
      <c r="B149" t="s">
        <v>22</v>
      </c>
      <c r="C149" t="s">
        <v>10</v>
      </c>
      <c r="D149">
        <v>62</v>
      </c>
      <c r="E149">
        <v>16</v>
      </c>
      <c r="F149" t="s">
        <v>30</v>
      </c>
      <c r="G149">
        <v>3</v>
      </c>
      <c r="H149" t="s">
        <v>14</v>
      </c>
      <c r="I149" t="s">
        <v>36</v>
      </c>
      <c r="J149" t="str">
        <f t="shared" si="6"/>
        <v>Pass</v>
      </c>
      <c r="K149" t="str">
        <f t="shared" si="7"/>
        <v>Not Eligible</v>
      </c>
      <c r="L149" t="str">
        <f t="shared" si="8"/>
        <v>Risk</v>
      </c>
      <c r="M149" t="str" cm="1">
        <f t="array" ref="M149">IF(D149="","Missing",_xlfn.IFS(D149&gt;=90,"A",D149&gt;=75,"B",D149&gt;=50,"C",TRUE,"F"))</f>
        <v>C</v>
      </c>
    </row>
    <row r="150" spans="1:13" x14ac:dyDescent="0.3">
      <c r="A150">
        <v>2148</v>
      </c>
      <c r="B150" t="s">
        <v>24</v>
      </c>
      <c r="C150" t="s">
        <v>18</v>
      </c>
      <c r="D150" t="s">
        <v>30</v>
      </c>
      <c r="E150">
        <v>60</v>
      </c>
      <c r="F150" t="s">
        <v>30</v>
      </c>
      <c r="G150">
        <v>6</v>
      </c>
      <c r="H150" t="s">
        <v>23</v>
      </c>
      <c r="I150" t="s">
        <v>37</v>
      </c>
      <c r="J150" t="str">
        <f t="shared" si="6"/>
        <v>Missing</v>
      </c>
      <c r="K150" t="str">
        <f t="shared" si="7"/>
        <v>Missing</v>
      </c>
      <c r="L150" t="str">
        <f t="shared" si="8"/>
        <v>Missing</v>
      </c>
      <c r="M150" t="str" cm="1">
        <f t="array" ref="M150">IF(D150="","Missing",_xlfn.IFS(D150&gt;=90,"A",D150&gt;=75,"B",D150&gt;=50,"C",TRUE,"F"))</f>
        <v>Missing</v>
      </c>
    </row>
    <row r="151" spans="1:13" x14ac:dyDescent="0.3">
      <c r="A151">
        <v>2149</v>
      </c>
      <c r="B151" t="s">
        <v>20</v>
      </c>
      <c r="C151" t="s">
        <v>13</v>
      </c>
      <c r="D151" t="s">
        <v>30</v>
      </c>
      <c r="F151">
        <v>78275</v>
      </c>
      <c r="G151">
        <v>11</v>
      </c>
      <c r="H151" t="s">
        <v>19</v>
      </c>
      <c r="I151" t="s">
        <v>35</v>
      </c>
      <c r="J151" t="str">
        <f t="shared" si="6"/>
        <v>Missing</v>
      </c>
      <c r="K151" t="str">
        <f t="shared" si="7"/>
        <v>Missing</v>
      </c>
      <c r="L151" t="str">
        <f t="shared" si="8"/>
        <v>Missing</v>
      </c>
      <c r="M151" t="str" cm="1">
        <f t="array" ref="M151">IF(D151="","Missing",_xlfn.IFS(D151&gt;=90,"A",D151&gt;=75,"B",D151&gt;=50,"C",TRUE,"F"))</f>
        <v>Missing</v>
      </c>
    </row>
    <row r="152" spans="1:13" x14ac:dyDescent="0.3">
      <c r="A152">
        <v>2150</v>
      </c>
      <c r="B152" t="s">
        <v>29</v>
      </c>
      <c r="C152" t="s">
        <v>18</v>
      </c>
      <c r="D152" t="s">
        <v>30</v>
      </c>
      <c r="E152">
        <v>25</v>
      </c>
      <c r="F152" t="s">
        <v>30</v>
      </c>
      <c r="G152">
        <v>0</v>
      </c>
      <c r="H152" t="s">
        <v>11</v>
      </c>
      <c r="I152" t="s">
        <v>41</v>
      </c>
      <c r="J152" t="str">
        <f t="shared" si="6"/>
        <v>Missing</v>
      </c>
      <c r="K152" t="str">
        <f t="shared" si="7"/>
        <v>Missing</v>
      </c>
      <c r="L152" t="str">
        <f t="shared" si="8"/>
        <v>Missing</v>
      </c>
      <c r="M152" t="str" cm="1">
        <f t="array" ref="M152">IF(D152="","Missing",_xlfn.IFS(D152&gt;=90,"A",D152&gt;=75,"B",D152&gt;=50,"C",TRUE,"F"))</f>
        <v>Missing</v>
      </c>
    </row>
    <row r="153" spans="1:13" x14ac:dyDescent="0.3">
      <c r="A153">
        <v>2151</v>
      </c>
      <c r="B153" t="s">
        <v>28</v>
      </c>
      <c r="C153" t="s">
        <v>16</v>
      </c>
      <c r="D153" t="s">
        <v>30</v>
      </c>
      <c r="E153">
        <v>3</v>
      </c>
      <c r="F153">
        <v>94727</v>
      </c>
      <c r="G153">
        <v>8</v>
      </c>
      <c r="H153" t="s">
        <v>21</v>
      </c>
      <c r="I153" t="s">
        <v>40</v>
      </c>
      <c r="J153" t="str">
        <f t="shared" si="6"/>
        <v>Missing</v>
      </c>
      <c r="K153" t="str">
        <f t="shared" si="7"/>
        <v>Missing</v>
      </c>
      <c r="L153" t="str">
        <f t="shared" si="8"/>
        <v>Missing</v>
      </c>
      <c r="M153" t="str" cm="1">
        <f t="array" ref="M153">IF(D153="","Missing",_xlfn.IFS(D153&gt;=90,"A",D153&gt;=75,"B",D153&gt;=50,"C",TRUE,"F"))</f>
        <v>Missing</v>
      </c>
    </row>
    <row r="154" spans="1:13" x14ac:dyDescent="0.3">
      <c r="A154">
        <v>2152</v>
      </c>
      <c r="B154" t="s">
        <v>15</v>
      </c>
      <c r="C154" t="s">
        <v>10</v>
      </c>
      <c r="D154" t="s">
        <v>30</v>
      </c>
      <c r="E154">
        <v>3</v>
      </c>
      <c r="F154" t="s">
        <v>30</v>
      </c>
      <c r="G154">
        <v>4</v>
      </c>
      <c r="H154" t="s">
        <v>21</v>
      </c>
      <c r="I154" t="s">
        <v>33</v>
      </c>
      <c r="J154" t="str">
        <f t="shared" si="6"/>
        <v>Missing</v>
      </c>
      <c r="K154" t="str">
        <f t="shared" si="7"/>
        <v>Missing</v>
      </c>
      <c r="L154" t="str">
        <f t="shared" si="8"/>
        <v>Missing</v>
      </c>
      <c r="M154" t="str" cm="1">
        <f t="array" ref="M154">IF(D154="","Missing",_xlfn.IFS(D154&gt;=90,"A",D154&gt;=75,"B",D154&gt;=50,"C",TRUE,"F"))</f>
        <v>Missing</v>
      </c>
    </row>
    <row r="155" spans="1:13" x14ac:dyDescent="0.3">
      <c r="A155">
        <v>2153</v>
      </c>
      <c r="B155" t="s">
        <v>15</v>
      </c>
      <c r="C155" t="s">
        <v>18</v>
      </c>
      <c r="D155" t="s">
        <v>30</v>
      </c>
      <c r="F155" t="s">
        <v>30</v>
      </c>
      <c r="G155">
        <v>6</v>
      </c>
      <c r="H155" t="s">
        <v>19</v>
      </c>
      <c r="I155" t="s">
        <v>33</v>
      </c>
      <c r="J155" t="str">
        <f t="shared" si="6"/>
        <v>Missing</v>
      </c>
      <c r="K155" t="str">
        <f t="shared" si="7"/>
        <v>Missing</v>
      </c>
      <c r="L155" t="str">
        <f t="shared" si="8"/>
        <v>Missing</v>
      </c>
      <c r="M155" t="str" cm="1">
        <f t="array" ref="M155">IF(D155="","Missing",_xlfn.IFS(D155&gt;=90,"A",D155&gt;=75,"B",D155&gt;=50,"C",TRUE,"F"))</f>
        <v>Missing</v>
      </c>
    </row>
    <row r="156" spans="1:13" x14ac:dyDescent="0.3">
      <c r="A156">
        <v>2154</v>
      </c>
      <c r="B156" t="s">
        <v>28</v>
      </c>
      <c r="C156" t="s">
        <v>10</v>
      </c>
      <c r="D156">
        <v>40</v>
      </c>
      <c r="E156">
        <v>92</v>
      </c>
      <c r="F156" t="s">
        <v>30</v>
      </c>
      <c r="G156">
        <v>9</v>
      </c>
      <c r="H156" t="s">
        <v>19</v>
      </c>
      <c r="I156" t="s">
        <v>40</v>
      </c>
      <c r="J156" t="str">
        <f t="shared" si="6"/>
        <v>Pass</v>
      </c>
      <c r="K156" t="str">
        <f t="shared" si="7"/>
        <v>Eligible</v>
      </c>
      <c r="L156" t="str">
        <f t="shared" si="8"/>
        <v>Normal</v>
      </c>
      <c r="M156" t="str" cm="1">
        <f t="array" ref="M156">IF(D156="","Missing",_xlfn.IFS(D156&gt;=90,"A",D156&gt;=75,"B",D156&gt;=50,"C",TRUE,"F"))</f>
        <v>F</v>
      </c>
    </row>
    <row r="157" spans="1:13" x14ac:dyDescent="0.3">
      <c r="A157">
        <v>2155</v>
      </c>
      <c r="B157" t="s">
        <v>24</v>
      </c>
      <c r="C157" t="s">
        <v>16</v>
      </c>
      <c r="D157">
        <v>87</v>
      </c>
      <c r="F157">
        <v>86695</v>
      </c>
      <c r="G157">
        <v>2</v>
      </c>
      <c r="H157" t="s">
        <v>21</v>
      </c>
      <c r="I157" t="s">
        <v>37</v>
      </c>
      <c r="J157" t="str">
        <f t="shared" si="6"/>
        <v>Pass</v>
      </c>
      <c r="K157" t="str">
        <f t="shared" si="7"/>
        <v>Missing</v>
      </c>
      <c r="L157" t="str">
        <f t="shared" si="8"/>
        <v>Missing</v>
      </c>
      <c r="M157" t="str" cm="1">
        <f t="array" ref="M157">IF(D157="","Missing",_xlfn.IFS(D157&gt;=90,"A",D157&gt;=75,"B",D157&gt;=50,"C",TRUE,"F"))</f>
        <v>B</v>
      </c>
    </row>
    <row r="158" spans="1:13" x14ac:dyDescent="0.3">
      <c r="A158">
        <v>2156</v>
      </c>
      <c r="B158" t="s">
        <v>17</v>
      </c>
      <c r="C158" t="s">
        <v>16</v>
      </c>
      <c r="D158" t="s">
        <v>30</v>
      </c>
      <c r="F158" t="s">
        <v>30</v>
      </c>
      <c r="G158">
        <v>11</v>
      </c>
      <c r="H158" t="s">
        <v>11</v>
      </c>
      <c r="I158" t="s">
        <v>34</v>
      </c>
      <c r="J158" t="str">
        <f t="shared" si="6"/>
        <v>Missing</v>
      </c>
      <c r="K158" t="str">
        <f t="shared" si="7"/>
        <v>Missing</v>
      </c>
      <c r="L158" t="str">
        <f t="shared" si="8"/>
        <v>Missing</v>
      </c>
      <c r="M158" t="str" cm="1">
        <f t="array" ref="M158">IF(D158="","Missing",_xlfn.IFS(D158&gt;=90,"A",D158&gt;=75,"B",D158&gt;=50,"C",TRUE,"F"))</f>
        <v>Missing</v>
      </c>
    </row>
    <row r="159" spans="1:13" x14ac:dyDescent="0.3">
      <c r="A159">
        <v>2157</v>
      </c>
      <c r="B159" t="s">
        <v>29</v>
      </c>
      <c r="C159" t="s">
        <v>13</v>
      </c>
      <c r="D159" t="s">
        <v>30</v>
      </c>
      <c r="F159" t="s">
        <v>30</v>
      </c>
      <c r="G159">
        <v>9</v>
      </c>
      <c r="H159" t="s">
        <v>21</v>
      </c>
      <c r="I159" t="s">
        <v>41</v>
      </c>
      <c r="J159" t="str">
        <f t="shared" si="6"/>
        <v>Missing</v>
      </c>
      <c r="K159" t="str">
        <f t="shared" si="7"/>
        <v>Missing</v>
      </c>
      <c r="L159" t="str">
        <f t="shared" si="8"/>
        <v>Missing</v>
      </c>
      <c r="M159" t="str" cm="1">
        <f t="array" ref="M159">IF(D159="","Missing",_xlfn.IFS(D159&gt;=90,"A",D159&gt;=75,"B",D159&gt;=50,"C",TRUE,"F"))</f>
        <v>Missing</v>
      </c>
    </row>
    <row r="160" spans="1:13" x14ac:dyDescent="0.3">
      <c r="A160">
        <v>2158</v>
      </c>
      <c r="B160" t="s">
        <v>26</v>
      </c>
      <c r="C160" t="s">
        <v>13</v>
      </c>
      <c r="D160" t="s">
        <v>30</v>
      </c>
      <c r="E160">
        <v>83</v>
      </c>
      <c r="F160" t="s">
        <v>30</v>
      </c>
      <c r="G160">
        <v>4</v>
      </c>
      <c r="H160" t="s">
        <v>21</v>
      </c>
      <c r="I160" t="s">
        <v>38</v>
      </c>
      <c r="J160" t="str">
        <f t="shared" si="6"/>
        <v>Missing</v>
      </c>
      <c r="K160" t="str">
        <f t="shared" si="7"/>
        <v>Missing</v>
      </c>
      <c r="L160" t="str">
        <f t="shared" si="8"/>
        <v>Missing</v>
      </c>
      <c r="M160" t="str" cm="1">
        <f t="array" ref="M160">IF(D160="","Missing",_xlfn.IFS(D160&gt;=90,"A",D160&gt;=75,"B",D160&gt;=50,"C",TRUE,"F"))</f>
        <v>Missing</v>
      </c>
    </row>
    <row r="161" spans="1:13" x14ac:dyDescent="0.3">
      <c r="A161">
        <v>2159</v>
      </c>
      <c r="B161" t="s">
        <v>29</v>
      </c>
      <c r="C161" t="s">
        <v>13</v>
      </c>
      <c r="D161" t="s">
        <v>30</v>
      </c>
      <c r="E161">
        <v>25</v>
      </c>
      <c r="F161" t="s">
        <v>30</v>
      </c>
      <c r="G161">
        <v>7</v>
      </c>
      <c r="H161" t="s">
        <v>23</v>
      </c>
      <c r="I161" t="s">
        <v>41</v>
      </c>
      <c r="J161" t="str">
        <f t="shared" si="6"/>
        <v>Missing</v>
      </c>
      <c r="K161" t="str">
        <f t="shared" si="7"/>
        <v>Missing</v>
      </c>
      <c r="L161" t="str">
        <f t="shared" si="8"/>
        <v>Missing</v>
      </c>
      <c r="M161" t="str" cm="1">
        <f t="array" ref="M161">IF(D161="","Missing",_xlfn.IFS(D161&gt;=90,"A",D161&gt;=75,"B",D161&gt;=50,"C",TRUE,"F"))</f>
        <v>Missing</v>
      </c>
    </row>
    <row r="162" spans="1:13" x14ac:dyDescent="0.3">
      <c r="A162">
        <v>2160</v>
      </c>
      <c r="B162" t="s">
        <v>20</v>
      </c>
      <c r="C162" t="s">
        <v>18</v>
      </c>
      <c r="D162" t="s">
        <v>30</v>
      </c>
      <c r="E162">
        <v>24</v>
      </c>
      <c r="F162">
        <v>83301</v>
      </c>
      <c r="G162">
        <v>9</v>
      </c>
      <c r="H162" t="s">
        <v>14</v>
      </c>
      <c r="I162" t="s">
        <v>35</v>
      </c>
      <c r="J162" t="str">
        <f t="shared" si="6"/>
        <v>Missing</v>
      </c>
      <c r="K162" t="str">
        <f t="shared" si="7"/>
        <v>Missing</v>
      </c>
      <c r="L162" t="str">
        <f t="shared" si="8"/>
        <v>Missing</v>
      </c>
      <c r="M162" t="str" cm="1">
        <f t="array" ref="M162">IF(D162="","Missing",_xlfn.IFS(D162&gt;=90,"A",D162&gt;=75,"B",D162&gt;=50,"C",TRUE,"F"))</f>
        <v>Missing</v>
      </c>
    </row>
    <row r="163" spans="1:13" x14ac:dyDescent="0.3">
      <c r="A163">
        <v>2161</v>
      </c>
      <c r="B163" t="s">
        <v>26</v>
      </c>
      <c r="C163" t="s">
        <v>25</v>
      </c>
      <c r="D163" t="s">
        <v>30</v>
      </c>
      <c r="E163">
        <v>76</v>
      </c>
      <c r="F163">
        <v>21100</v>
      </c>
      <c r="G163">
        <v>10</v>
      </c>
      <c r="H163" t="s">
        <v>14</v>
      </c>
      <c r="I163" t="s">
        <v>38</v>
      </c>
      <c r="J163" t="str">
        <f t="shared" si="6"/>
        <v>Missing</v>
      </c>
      <c r="K163" t="str">
        <f t="shared" si="7"/>
        <v>Missing</v>
      </c>
      <c r="L163" t="str">
        <f t="shared" si="8"/>
        <v>Missing</v>
      </c>
      <c r="M163" t="str" cm="1">
        <f t="array" ref="M163">IF(D163="","Missing",_xlfn.IFS(D163&gt;=90,"A",D163&gt;=75,"B",D163&gt;=50,"C",TRUE,"F"))</f>
        <v>Missing</v>
      </c>
    </row>
    <row r="164" spans="1:13" x14ac:dyDescent="0.3">
      <c r="A164">
        <v>2162</v>
      </c>
      <c r="B164" t="s">
        <v>9</v>
      </c>
      <c r="C164" t="s">
        <v>18</v>
      </c>
      <c r="D164" t="s">
        <v>30</v>
      </c>
      <c r="E164">
        <v>25</v>
      </c>
      <c r="F164" t="s">
        <v>30</v>
      </c>
      <c r="G164">
        <v>6</v>
      </c>
      <c r="H164" t="s">
        <v>23</v>
      </c>
      <c r="I164" t="s">
        <v>31</v>
      </c>
      <c r="J164" t="str">
        <f t="shared" si="6"/>
        <v>Missing</v>
      </c>
      <c r="K164" t="str">
        <f t="shared" si="7"/>
        <v>Missing</v>
      </c>
      <c r="L164" t="str">
        <f t="shared" si="8"/>
        <v>Missing</v>
      </c>
      <c r="M164" t="str" cm="1">
        <f t="array" ref="M164">IF(D164="","Missing",_xlfn.IFS(D164&gt;=90,"A",D164&gt;=75,"B",D164&gt;=50,"C",TRUE,"F"))</f>
        <v>Missing</v>
      </c>
    </row>
    <row r="165" spans="1:13" x14ac:dyDescent="0.3">
      <c r="A165">
        <v>2163</v>
      </c>
      <c r="B165" t="s">
        <v>12</v>
      </c>
      <c r="C165" t="s">
        <v>13</v>
      </c>
      <c r="D165" t="s">
        <v>30</v>
      </c>
      <c r="E165">
        <v>96</v>
      </c>
      <c r="F165">
        <v>49809</v>
      </c>
      <c r="G165">
        <v>9</v>
      </c>
      <c r="H165" t="s">
        <v>14</v>
      </c>
      <c r="I165" t="s">
        <v>32</v>
      </c>
      <c r="J165" t="str">
        <f t="shared" si="6"/>
        <v>Missing</v>
      </c>
      <c r="K165" t="str">
        <f t="shared" si="7"/>
        <v>Missing</v>
      </c>
      <c r="L165" t="str">
        <f t="shared" si="8"/>
        <v>Missing</v>
      </c>
      <c r="M165" t="str" cm="1">
        <f t="array" ref="M165">IF(D165="","Missing",_xlfn.IFS(D165&gt;=90,"A",D165&gt;=75,"B",D165&gt;=50,"C",TRUE,"F"))</f>
        <v>Missing</v>
      </c>
    </row>
    <row r="166" spans="1:13" x14ac:dyDescent="0.3">
      <c r="A166">
        <v>2164</v>
      </c>
      <c r="B166" t="s">
        <v>29</v>
      </c>
      <c r="C166" t="s">
        <v>18</v>
      </c>
      <c r="D166">
        <v>76</v>
      </c>
      <c r="F166" t="s">
        <v>30</v>
      </c>
      <c r="G166">
        <v>9</v>
      </c>
      <c r="H166" t="s">
        <v>14</v>
      </c>
      <c r="I166" t="s">
        <v>41</v>
      </c>
      <c r="J166" t="str">
        <f t="shared" si="6"/>
        <v>Pass</v>
      </c>
      <c r="K166" t="str">
        <f t="shared" si="7"/>
        <v>Missing</v>
      </c>
      <c r="L166" t="str">
        <f t="shared" si="8"/>
        <v>Missing</v>
      </c>
      <c r="M166" t="str" cm="1">
        <f t="array" ref="M166">IF(D166="","Missing",_xlfn.IFS(D166&gt;=90,"A",D166&gt;=75,"B",D166&gt;=50,"C",TRUE,"F"))</f>
        <v>B</v>
      </c>
    </row>
    <row r="167" spans="1:13" x14ac:dyDescent="0.3">
      <c r="A167">
        <v>2165</v>
      </c>
      <c r="B167" t="s">
        <v>17</v>
      </c>
      <c r="C167" t="s">
        <v>13</v>
      </c>
      <c r="D167" t="s">
        <v>30</v>
      </c>
      <c r="F167" t="s">
        <v>30</v>
      </c>
      <c r="G167">
        <v>11</v>
      </c>
      <c r="H167" t="s">
        <v>23</v>
      </c>
      <c r="I167" t="s">
        <v>34</v>
      </c>
      <c r="J167" t="str">
        <f t="shared" si="6"/>
        <v>Missing</v>
      </c>
      <c r="K167" t="str">
        <f t="shared" si="7"/>
        <v>Missing</v>
      </c>
      <c r="L167" t="str">
        <f t="shared" si="8"/>
        <v>Missing</v>
      </c>
      <c r="M167" t="str" cm="1">
        <f t="array" ref="M167">IF(D167="","Missing",_xlfn.IFS(D167&gt;=90,"A",D167&gt;=75,"B",D167&gt;=50,"C",TRUE,"F"))</f>
        <v>Missing</v>
      </c>
    </row>
    <row r="168" spans="1:13" x14ac:dyDescent="0.3">
      <c r="A168">
        <v>2166</v>
      </c>
      <c r="B168" t="s">
        <v>9</v>
      </c>
      <c r="C168" t="s">
        <v>13</v>
      </c>
      <c r="D168" t="s">
        <v>30</v>
      </c>
      <c r="F168" t="s">
        <v>30</v>
      </c>
      <c r="G168">
        <v>11</v>
      </c>
      <c r="H168" t="s">
        <v>11</v>
      </c>
      <c r="I168" t="s">
        <v>31</v>
      </c>
      <c r="J168" t="str">
        <f t="shared" si="6"/>
        <v>Missing</v>
      </c>
      <c r="K168" t="str">
        <f t="shared" si="7"/>
        <v>Missing</v>
      </c>
      <c r="L168" t="str">
        <f t="shared" si="8"/>
        <v>Missing</v>
      </c>
      <c r="M168" t="str" cm="1">
        <f t="array" ref="M168">IF(D168="","Missing",_xlfn.IFS(D168&gt;=90,"A",D168&gt;=75,"B",D168&gt;=50,"C",TRUE,"F"))</f>
        <v>Missing</v>
      </c>
    </row>
    <row r="169" spans="1:13" x14ac:dyDescent="0.3">
      <c r="A169">
        <v>2167</v>
      </c>
      <c r="B169" t="s">
        <v>12</v>
      </c>
      <c r="C169" t="s">
        <v>25</v>
      </c>
      <c r="D169" t="s">
        <v>30</v>
      </c>
      <c r="E169">
        <v>21</v>
      </c>
      <c r="F169">
        <v>42458</v>
      </c>
      <c r="G169">
        <v>10</v>
      </c>
      <c r="H169" t="s">
        <v>11</v>
      </c>
      <c r="I169" t="s">
        <v>32</v>
      </c>
      <c r="J169" t="str">
        <f t="shared" si="6"/>
        <v>Missing</v>
      </c>
      <c r="K169" t="str">
        <f t="shared" si="7"/>
        <v>Missing</v>
      </c>
      <c r="L169" t="str">
        <f t="shared" si="8"/>
        <v>Missing</v>
      </c>
      <c r="M169" t="str" cm="1">
        <f t="array" ref="M169">IF(D169="","Missing",_xlfn.IFS(D169&gt;=90,"A",D169&gt;=75,"B",D169&gt;=50,"C",TRUE,"F"))</f>
        <v>Missing</v>
      </c>
    </row>
    <row r="170" spans="1:13" x14ac:dyDescent="0.3">
      <c r="A170">
        <v>2168</v>
      </c>
      <c r="B170" t="s">
        <v>28</v>
      </c>
      <c r="C170" t="s">
        <v>25</v>
      </c>
      <c r="D170" t="s">
        <v>30</v>
      </c>
      <c r="F170" t="s">
        <v>30</v>
      </c>
      <c r="G170">
        <v>4</v>
      </c>
      <c r="H170" t="s">
        <v>14</v>
      </c>
      <c r="I170" t="s">
        <v>40</v>
      </c>
      <c r="J170" t="str">
        <f t="shared" si="6"/>
        <v>Missing</v>
      </c>
      <c r="K170" t="str">
        <f t="shared" si="7"/>
        <v>Missing</v>
      </c>
      <c r="L170" t="str">
        <f t="shared" si="8"/>
        <v>Missing</v>
      </c>
      <c r="M170" t="str" cm="1">
        <f t="array" ref="M170">IF(D170="","Missing",_xlfn.IFS(D170&gt;=90,"A",D170&gt;=75,"B",D170&gt;=50,"C",TRUE,"F"))</f>
        <v>Missing</v>
      </c>
    </row>
    <row r="171" spans="1:13" x14ac:dyDescent="0.3">
      <c r="A171">
        <v>2169</v>
      </c>
      <c r="B171" t="s">
        <v>20</v>
      </c>
      <c r="C171" t="s">
        <v>16</v>
      </c>
      <c r="D171" t="s">
        <v>30</v>
      </c>
      <c r="E171">
        <v>19</v>
      </c>
      <c r="F171">
        <v>57551</v>
      </c>
      <c r="G171">
        <v>2</v>
      </c>
      <c r="H171" t="s">
        <v>11</v>
      </c>
      <c r="I171" t="s">
        <v>35</v>
      </c>
      <c r="J171" t="str">
        <f t="shared" si="6"/>
        <v>Missing</v>
      </c>
      <c r="K171" t="str">
        <f t="shared" si="7"/>
        <v>Missing</v>
      </c>
      <c r="L171" t="str">
        <f t="shared" si="8"/>
        <v>Missing</v>
      </c>
      <c r="M171" t="str" cm="1">
        <f t="array" ref="M171">IF(D171="","Missing",_xlfn.IFS(D171&gt;=90,"A",D171&gt;=75,"B",D171&gt;=50,"C",TRUE,"F"))</f>
        <v>Missing</v>
      </c>
    </row>
    <row r="172" spans="1:13" x14ac:dyDescent="0.3">
      <c r="A172">
        <v>2170</v>
      </c>
      <c r="B172" t="s">
        <v>27</v>
      </c>
      <c r="C172" t="s">
        <v>10</v>
      </c>
      <c r="D172">
        <v>86</v>
      </c>
      <c r="E172">
        <v>13</v>
      </c>
      <c r="F172" t="s">
        <v>30</v>
      </c>
      <c r="G172">
        <v>7</v>
      </c>
      <c r="H172" t="s">
        <v>23</v>
      </c>
      <c r="I172" t="s">
        <v>39</v>
      </c>
      <c r="J172" t="str">
        <f t="shared" si="6"/>
        <v>Pass</v>
      </c>
      <c r="K172" t="str">
        <f t="shared" si="7"/>
        <v>Not Eligible</v>
      </c>
      <c r="L172" t="str">
        <f t="shared" si="8"/>
        <v>Risk</v>
      </c>
      <c r="M172" t="str" cm="1">
        <f t="array" ref="M172">IF(D172="","Missing",_xlfn.IFS(D172&gt;=90,"A",D172&gt;=75,"B",D172&gt;=50,"C",TRUE,"F"))</f>
        <v>B</v>
      </c>
    </row>
    <row r="173" spans="1:13" x14ac:dyDescent="0.3">
      <c r="A173">
        <v>2171</v>
      </c>
      <c r="B173" t="s">
        <v>28</v>
      </c>
      <c r="C173" t="s">
        <v>10</v>
      </c>
      <c r="D173" t="s">
        <v>30</v>
      </c>
      <c r="F173" t="s">
        <v>30</v>
      </c>
      <c r="G173">
        <v>9</v>
      </c>
      <c r="H173" t="s">
        <v>19</v>
      </c>
      <c r="I173" t="s">
        <v>40</v>
      </c>
      <c r="J173" t="str">
        <f t="shared" si="6"/>
        <v>Missing</v>
      </c>
      <c r="K173" t="str">
        <f t="shared" si="7"/>
        <v>Missing</v>
      </c>
      <c r="L173" t="str">
        <f t="shared" si="8"/>
        <v>Missing</v>
      </c>
      <c r="M173" t="str" cm="1">
        <f t="array" ref="M173">IF(D173="","Missing",_xlfn.IFS(D173&gt;=90,"A",D173&gt;=75,"B",D173&gt;=50,"C",TRUE,"F"))</f>
        <v>Missing</v>
      </c>
    </row>
    <row r="174" spans="1:13" x14ac:dyDescent="0.3">
      <c r="A174">
        <v>2172</v>
      </c>
      <c r="B174" t="s">
        <v>27</v>
      </c>
      <c r="C174" t="s">
        <v>25</v>
      </c>
      <c r="D174" t="s">
        <v>30</v>
      </c>
      <c r="E174">
        <v>54</v>
      </c>
      <c r="F174" t="s">
        <v>30</v>
      </c>
      <c r="G174">
        <v>7</v>
      </c>
      <c r="H174" t="s">
        <v>23</v>
      </c>
      <c r="I174" t="s">
        <v>39</v>
      </c>
      <c r="J174" t="str">
        <f t="shared" si="6"/>
        <v>Missing</v>
      </c>
      <c r="K174" t="str">
        <f t="shared" si="7"/>
        <v>Missing</v>
      </c>
      <c r="L174" t="str">
        <f t="shared" si="8"/>
        <v>Missing</v>
      </c>
      <c r="M174" t="str" cm="1">
        <f t="array" ref="M174">IF(D174="","Missing",_xlfn.IFS(D174&gt;=90,"A",D174&gt;=75,"B",D174&gt;=50,"C",TRUE,"F"))</f>
        <v>Missing</v>
      </c>
    </row>
    <row r="175" spans="1:13" x14ac:dyDescent="0.3">
      <c r="A175">
        <v>2173</v>
      </c>
      <c r="B175" t="s">
        <v>26</v>
      </c>
      <c r="C175" t="s">
        <v>25</v>
      </c>
      <c r="D175" t="s">
        <v>30</v>
      </c>
      <c r="F175">
        <v>45099</v>
      </c>
      <c r="G175">
        <v>9</v>
      </c>
      <c r="H175" t="s">
        <v>11</v>
      </c>
      <c r="I175" t="s">
        <v>38</v>
      </c>
      <c r="J175" t="str">
        <f t="shared" si="6"/>
        <v>Missing</v>
      </c>
      <c r="K175" t="str">
        <f t="shared" si="7"/>
        <v>Missing</v>
      </c>
      <c r="L175" t="str">
        <f t="shared" si="8"/>
        <v>Missing</v>
      </c>
      <c r="M175" t="str" cm="1">
        <f t="array" ref="M175">IF(D175="","Missing",_xlfn.IFS(D175&gt;=90,"A",D175&gt;=75,"B",D175&gt;=50,"C",TRUE,"F"))</f>
        <v>Missing</v>
      </c>
    </row>
    <row r="176" spans="1:13" x14ac:dyDescent="0.3">
      <c r="A176">
        <v>2174</v>
      </c>
      <c r="B176" t="s">
        <v>26</v>
      </c>
      <c r="C176" t="s">
        <v>13</v>
      </c>
      <c r="D176" t="s">
        <v>30</v>
      </c>
      <c r="F176" t="s">
        <v>30</v>
      </c>
      <c r="G176">
        <v>2</v>
      </c>
      <c r="H176" t="s">
        <v>19</v>
      </c>
      <c r="I176" t="s">
        <v>38</v>
      </c>
      <c r="J176" t="str">
        <f t="shared" si="6"/>
        <v>Missing</v>
      </c>
      <c r="K176" t="str">
        <f t="shared" si="7"/>
        <v>Missing</v>
      </c>
      <c r="L176" t="str">
        <f t="shared" si="8"/>
        <v>Missing</v>
      </c>
      <c r="M176" t="str" cm="1">
        <f t="array" ref="M176">IF(D176="","Missing",_xlfn.IFS(D176&gt;=90,"A",D176&gt;=75,"B",D176&gt;=50,"C",TRUE,"F"))</f>
        <v>Missing</v>
      </c>
    </row>
    <row r="177" spans="1:13" x14ac:dyDescent="0.3">
      <c r="A177">
        <v>2175</v>
      </c>
      <c r="B177" t="s">
        <v>26</v>
      </c>
      <c r="C177" t="s">
        <v>16</v>
      </c>
      <c r="D177" t="s">
        <v>30</v>
      </c>
      <c r="E177">
        <v>4</v>
      </c>
      <c r="F177" t="s">
        <v>30</v>
      </c>
      <c r="G177">
        <v>11</v>
      </c>
      <c r="H177" t="s">
        <v>11</v>
      </c>
      <c r="I177" t="s">
        <v>38</v>
      </c>
      <c r="J177" t="str">
        <f t="shared" si="6"/>
        <v>Missing</v>
      </c>
      <c r="K177" t="str">
        <f t="shared" si="7"/>
        <v>Missing</v>
      </c>
      <c r="L177" t="str">
        <f t="shared" si="8"/>
        <v>Missing</v>
      </c>
      <c r="M177" t="str" cm="1">
        <f t="array" ref="M177">IF(D177="","Missing",_xlfn.IFS(D177&gt;=90,"A",D177&gt;=75,"B",D177&gt;=50,"C",TRUE,"F"))</f>
        <v>Missing</v>
      </c>
    </row>
    <row r="178" spans="1:13" x14ac:dyDescent="0.3">
      <c r="A178">
        <v>2176</v>
      </c>
      <c r="B178" t="s">
        <v>22</v>
      </c>
      <c r="C178" t="s">
        <v>25</v>
      </c>
      <c r="D178" t="s">
        <v>30</v>
      </c>
      <c r="E178">
        <v>11</v>
      </c>
      <c r="F178" t="s">
        <v>30</v>
      </c>
      <c r="G178">
        <v>1</v>
      </c>
      <c r="H178" t="s">
        <v>19</v>
      </c>
      <c r="I178" t="s">
        <v>36</v>
      </c>
      <c r="J178" t="str">
        <f t="shared" si="6"/>
        <v>Missing</v>
      </c>
      <c r="K178" t="str">
        <f t="shared" si="7"/>
        <v>Missing</v>
      </c>
      <c r="L178" t="str">
        <f t="shared" si="8"/>
        <v>Missing</v>
      </c>
      <c r="M178" t="str" cm="1">
        <f t="array" ref="M178">IF(D178="","Missing",_xlfn.IFS(D178&gt;=90,"A",D178&gt;=75,"B",D178&gt;=50,"C",TRUE,"F"))</f>
        <v>Missing</v>
      </c>
    </row>
    <row r="179" spans="1:13" x14ac:dyDescent="0.3">
      <c r="A179">
        <v>2177</v>
      </c>
      <c r="B179" t="s">
        <v>20</v>
      </c>
      <c r="C179" t="s">
        <v>16</v>
      </c>
      <c r="D179" t="s">
        <v>30</v>
      </c>
      <c r="F179" t="s">
        <v>30</v>
      </c>
      <c r="G179">
        <v>1</v>
      </c>
      <c r="H179" t="s">
        <v>11</v>
      </c>
      <c r="I179" t="s">
        <v>35</v>
      </c>
      <c r="J179" t="str">
        <f t="shared" si="6"/>
        <v>Missing</v>
      </c>
      <c r="K179" t="str">
        <f t="shared" si="7"/>
        <v>Missing</v>
      </c>
      <c r="L179" t="str">
        <f t="shared" si="8"/>
        <v>Missing</v>
      </c>
      <c r="M179" t="str" cm="1">
        <f t="array" ref="M179">IF(D179="","Missing",_xlfn.IFS(D179&gt;=90,"A",D179&gt;=75,"B",D179&gt;=50,"C",TRUE,"F"))</f>
        <v>Missing</v>
      </c>
    </row>
    <row r="180" spans="1:13" x14ac:dyDescent="0.3">
      <c r="A180">
        <v>2178</v>
      </c>
      <c r="B180" t="s">
        <v>29</v>
      </c>
      <c r="C180" t="s">
        <v>13</v>
      </c>
      <c r="D180" t="s">
        <v>30</v>
      </c>
      <c r="E180">
        <v>50</v>
      </c>
      <c r="F180" t="s">
        <v>30</v>
      </c>
      <c r="G180">
        <v>1</v>
      </c>
      <c r="H180" t="s">
        <v>14</v>
      </c>
      <c r="I180" t="s">
        <v>41</v>
      </c>
      <c r="J180" t="str">
        <f t="shared" si="6"/>
        <v>Missing</v>
      </c>
      <c r="K180" t="str">
        <f t="shared" si="7"/>
        <v>Missing</v>
      </c>
      <c r="L180" t="str">
        <f t="shared" si="8"/>
        <v>Missing</v>
      </c>
      <c r="M180" t="str" cm="1">
        <f t="array" ref="M180">IF(D180="","Missing",_xlfn.IFS(D180&gt;=90,"A",D180&gt;=75,"B",D180&gt;=50,"C",TRUE,"F"))</f>
        <v>Missing</v>
      </c>
    </row>
    <row r="181" spans="1:13" x14ac:dyDescent="0.3">
      <c r="A181">
        <v>2179</v>
      </c>
      <c r="B181" t="s">
        <v>12</v>
      </c>
      <c r="C181" t="s">
        <v>25</v>
      </c>
      <c r="D181">
        <v>54</v>
      </c>
      <c r="F181" t="s">
        <v>30</v>
      </c>
      <c r="G181">
        <v>1</v>
      </c>
      <c r="H181" t="s">
        <v>21</v>
      </c>
      <c r="I181" t="s">
        <v>32</v>
      </c>
      <c r="J181" t="str">
        <f t="shared" si="6"/>
        <v>Pass</v>
      </c>
      <c r="K181" t="str">
        <f t="shared" si="7"/>
        <v>Missing</v>
      </c>
      <c r="L181" t="str">
        <f t="shared" si="8"/>
        <v>Missing</v>
      </c>
      <c r="M181" t="str" cm="1">
        <f t="array" ref="M181">IF(D181="","Missing",_xlfn.IFS(D181&gt;=90,"A",D181&gt;=75,"B",D181&gt;=50,"C",TRUE,"F"))</f>
        <v>C</v>
      </c>
    </row>
    <row r="182" spans="1:13" x14ac:dyDescent="0.3">
      <c r="A182">
        <v>2180</v>
      </c>
      <c r="B182" t="s">
        <v>9</v>
      </c>
      <c r="C182" t="s">
        <v>16</v>
      </c>
      <c r="D182" t="s">
        <v>30</v>
      </c>
      <c r="F182" t="s">
        <v>30</v>
      </c>
      <c r="G182">
        <v>4</v>
      </c>
      <c r="H182" t="s">
        <v>14</v>
      </c>
      <c r="I182" t="s">
        <v>31</v>
      </c>
      <c r="J182" t="str">
        <f t="shared" si="6"/>
        <v>Missing</v>
      </c>
      <c r="K182" t="str">
        <f t="shared" si="7"/>
        <v>Missing</v>
      </c>
      <c r="L182" t="str">
        <f t="shared" si="8"/>
        <v>Missing</v>
      </c>
      <c r="M182" t="str" cm="1">
        <f t="array" ref="M182">IF(D182="","Missing",_xlfn.IFS(D182&gt;=90,"A",D182&gt;=75,"B",D182&gt;=50,"C",TRUE,"F"))</f>
        <v>Missing</v>
      </c>
    </row>
    <row r="183" spans="1:13" x14ac:dyDescent="0.3">
      <c r="A183">
        <v>2181</v>
      </c>
      <c r="B183" t="s">
        <v>15</v>
      </c>
      <c r="C183" t="s">
        <v>25</v>
      </c>
      <c r="D183" t="s">
        <v>30</v>
      </c>
      <c r="E183">
        <v>98</v>
      </c>
      <c r="F183" t="s">
        <v>30</v>
      </c>
      <c r="G183">
        <v>1</v>
      </c>
      <c r="H183" t="s">
        <v>21</v>
      </c>
      <c r="I183" t="s">
        <v>33</v>
      </c>
      <c r="J183" t="str">
        <f t="shared" si="6"/>
        <v>Missing</v>
      </c>
      <c r="K183" t="str">
        <f t="shared" si="7"/>
        <v>Missing</v>
      </c>
      <c r="L183" t="str">
        <f t="shared" si="8"/>
        <v>Missing</v>
      </c>
      <c r="M183" t="str" cm="1">
        <f t="array" ref="M183">IF(D183="","Missing",_xlfn.IFS(D183&gt;=90,"A",D183&gt;=75,"B",D183&gt;=50,"C",TRUE,"F"))</f>
        <v>Missing</v>
      </c>
    </row>
    <row r="184" spans="1:13" x14ac:dyDescent="0.3">
      <c r="A184">
        <v>2182</v>
      </c>
      <c r="B184" t="s">
        <v>28</v>
      </c>
      <c r="C184" t="s">
        <v>13</v>
      </c>
      <c r="D184">
        <v>56</v>
      </c>
      <c r="F184" t="s">
        <v>30</v>
      </c>
      <c r="G184">
        <v>3</v>
      </c>
      <c r="H184" t="s">
        <v>14</v>
      </c>
      <c r="I184" t="s">
        <v>40</v>
      </c>
      <c r="J184" t="str">
        <f t="shared" si="6"/>
        <v>Pass</v>
      </c>
      <c r="K184" t="str">
        <f t="shared" si="7"/>
        <v>Missing</v>
      </c>
      <c r="L184" t="str">
        <f t="shared" si="8"/>
        <v>Missing</v>
      </c>
      <c r="M184" t="str" cm="1">
        <f t="array" ref="M184">IF(D184="","Missing",_xlfn.IFS(D184&gt;=90,"A",D184&gt;=75,"B",D184&gt;=50,"C",TRUE,"F"))</f>
        <v>C</v>
      </c>
    </row>
    <row r="185" spans="1:13" x14ac:dyDescent="0.3">
      <c r="A185">
        <v>2183</v>
      </c>
      <c r="B185" t="s">
        <v>26</v>
      </c>
      <c r="C185" t="s">
        <v>16</v>
      </c>
      <c r="D185" t="s">
        <v>30</v>
      </c>
      <c r="E185">
        <v>13</v>
      </c>
      <c r="F185" t="s">
        <v>30</v>
      </c>
      <c r="G185">
        <v>8</v>
      </c>
      <c r="H185" t="s">
        <v>11</v>
      </c>
      <c r="I185" t="s">
        <v>38</v>
      </c>
      <c r="J185" t="str">
        <f t="shared" si="6"/>
        <v>Missing</v>
      </c>
      <c r="K185" t="str">
        <f t="shared" si="7"/>
        <v>Missing</v>
      </c>
      <c r="L185" t="str">
        <f t="shared" si="8"/>
        <v>Missing</v>
      </c>
      <c r="M185" t="str" cm="1">
        <f t="array" ref="M185">IF(D185="","Missing",_xlfn.IFS(D185&gt;=90,"A",D185&gt;=75,"B",D185&gt;=50,"C",TRUE,"F"))</f>
        <v>Missing</v>
      </c>
    </row>
    <row r="186" spans="1:13" x14ac:dyDescent="0.3">
      <c r="A186">
        <v>2184</v>
      </c>
      <c r="B186" t="s">
        <v>15</v>
      </c>
      <c r="C186" t="s">
        <v>10</v>
      </c>
      <c r="D186" t="s">
        <v>30</v>
      </c>
      <c r="F186" t="s">
        <v>30</v>
      </c>
      <c r="G186">
        <v>5</v>
      </c>
      <c r="H186" t="s">
        <v>21</v>
      </c>
      <c r="I186" t="s">
        <v>33</v>
      </c>
      <c r="J186" t="str">
        <f t="shared" si="6"/>
        <v>Missing</v>
      </c>
      <c r="K186" t="str">
        <f t="shared" si="7"/>
        <v>Missing</v>
      </c>
      <c r="L186" t="str">
        <f t="shared" si="8"/>
        <v>Missing</v>
      </c>
      <c r="M186" t="str" cm="1">
        <f t="array" ref="M186">IF(D186="","Missing",_xlfn.IFS(D186&gt;=90,"A",D186&gt;=75,"B",D186&gt;=50,"C",TRUE,"F"))</f>
        <v>Missing</v>
      </c>
    </row>
    <row r="187" spans="1:13" x14ac:dyDescent="0.3">
      <c r="A187">
        <v>2185</v>
      </c>
      <c r="B187" t="s">
        <v>28</v>
      </c>
      <c r="C187" t="s">
        <v>18</v>
      </c>
      <c r="D187">
        <v>41</v>
      </c>
      <c r="E187">
        <v>73</v>
      </c>
      <c r="F187" t="s">
        <v>30</v>
      </c>
      <c r="G187">
        <v>6</v>
      </c>
      <c r="H187" t="s">
        <v>14</v>
      </c>
      <c r="I187" t="s">
        <v>40</v>
      </c>
      <c r="J187" t="str">
        <f t="shared" si="6"/>
        <v>Pass</v>
      </c>
      <c r="K187" t="str">
        <f t="shared" si="7"/>
        <v>Not Eligible</v>
      </c>
      <c r="L187" t="str">
        <f t="shared" si="8"/>
        <v>Normal</v>
      </c>
      <c r="M187" t="str" cm="1">
        <f t="array" ref="M187">IF(D187="","Missing",_xlfn.IFS(D187&gt;=90,"A",D187&gt;=75,"B",D187&gt;=50,"C",TRUE,"F"))</f>
        <v>F</v>
      </c>
    </row>
    <row r="188" spans="1:13" x14ac:dyDescent="0.3">
      <c r="A188">
        <v>2186</v>
      </c>
      <c r="B188" t="s">
        <v>9</v>
      </c>
      <c r="C188" t="s">
        <v>10</v>
      </c>
      <c r="D188" t="s">
        <v>30</v>
      </c>
      <c r="F188" t="s">
        <v>30</v>
      </c>
      <c r="G188">
        <v>3</v>
      </c>
      <c r="H188" t="s">
        <v>19</v>
      </c>
      <c r="I188" t="s">
        <v>31</v>
      </c>
      <c r="J188" t="str">
        <f t="shared" si="6"/>
        <v>Missing</v>
      </c>
      <c r="K188" t="str">
        <f t="shared" si="7"/>
        <v>Missing</v>
      </c>
      <c r="L188" t="str">
        <f t="shared" si="8"/>
        <v>Missing</v>
      </c>
      <c r="M188" t="str" cm="1">
        <f t="array" ref="M188">IF(D188="","Missing",_xlfn.IFS(D188&gt;=90,"A",D188&gt;=75,"B",D188&gt;=50,"C",TRUE,"F"))</f>
        <v>Missing</v>
      </c>
    </row>
    <row r="189" spans="1:13" x14ac:dyDescent="0.3">
      <c r="A189">
        <v>2187</v>
      </c>
      <c r="B189" t="s">
        <v>27</v>
      </c>
      <c r="C189" t="s">
        <v>13</v>
      </c>
      <c r="D189" t="s">
        <v>30</v>
      </c>
      <c r="E189">
        <v>53</v>
      </c>
      <c r="F189">
        <v>65266</v>
      </c>
      <c r="G189">
        <v>10</v>
      </c>
      <c r="H189" t="s">
        <v>21</v>
      </c>
      <c r="I189" t="s">
        <v>39</v>
      </c>
      <c r="J189" t="str">
        <f t="shared" si="6"/>
        <v>Missing</v>
      </c>
      <c r="K189" t="str">
        <f t="shared" si="7"/>
        <v>Missing</v>
      </c>
      <c r="L189" t="str">
        <f t="shared" si="8"/>
        <v>Missing</v>
      </c>
      <c r="M189" t="str" cm="1">
        <f t="array" ref="M189">IF(D189="","Missing",_xlfn.IFS(D189&gt;=90,"A",D189&gt;=75,"B",D189&gt;=50,"C",TRUE,"F"))</f>
        <v>Missing</v>
      </c>
    </row>
    <row r="190" spans="1:13" x14ac:dyDescent="0.3">
      <c r="A190">
        <v>2188</v>
      </c>
      <c r="B190" t="s">
        <v>15</v>
      </c>
      <c r="C190" t="s">
        <v>25</v>
      </c>
      <c r="D190">
        <v>44</v>
      </c>
      <c r="E190">
        <v>47</v>
      </c>
      <c r="F190" t="s">
        <v>30</v>
      </c>
      <c r="G190">
        <v>1</v>
      </c>
      <c r="H190" t="s">
        <v>14</v>
      </c>
      <c r="I190" t="s">
        <v>33</v>
      </c>
      <c r="J190" t="str">
        <f t="shared" si="6"/>
        <v>Pass</v>
      </c>
      <c r="K190" t="str">
        <f t="shared" si="7"/>
        <v>Not Eligible</v>
      </c>
      <c r="L190" t="str">
        <f t="shared" si="8"/>
        <v>Risk</v>
      </c>
      <c r="M190" t="str" cm="1">
        <f t="array" ref="M190">IF(D190="","Missing",_xlfn.IFS(D190&gt;=90,"A",D190&gt;=75,"B",D190&gt;=50,"C",TRUE,"F"))</f>
        <v>F</v>
      </c>
    </row>
    <row r="191" spans="1:13" x14ac:dyDescent="0.3">
      <c r="A191">
        <v>2189</v>
      </c>
      <c r="B191" t="s">
        <v>12</v>
      </c>
      <c r="C191" t="s">
        <v>13</v>
      </c>
      <c r="D191" t="s">
        <v>30</v>
      </c>
      <c r="E191">
        <v>27</v>
      </c>
      <c r="F191" t="s">
        <v>30</v>
      </c>
      <c r="G191">
        <v>8</v>
      </c>
      <c r="H191" t="s">
        <v>14</v>
      </c>
      <c r="I191" t="s">
        <v>32</v>
      </c>
      <c r="J191" t="str">
        <f t="shared" si="6"/>
        <v>Missing</v>
      </c>
      <c r="K191" t="str">
        <f t="shared" si="7"/>
        <v>Missing</v>
      </c>
      <c r="L191" t="str">
        <f t="shared" si="8"/>
        <v>Missing</v>
      </c>
      <c r="M191" t="str" cm="1">
        <f t="array" ref="M191">IF(D191="","Missing",_xlfn.IFS(D191&gt;=90,"A",D191&gt;=75,"B",D191&gt;=50,"C",TRUE,"F"))</f>
        <v>Missing</v>
      </c>
    </row>
    <row r="192" spans="1:13" x14ac:dyDescent="0.3">
      <c r="A192">
        <v>2190</v>
      </c>
      <c r="B192" t="s">
        <v>17</v>
      </c>
      <c r="C192" t="s">
        <v>13</v>
      </c>
      <c r="D192" t="s">
        <v>30</v>
      </c>
      <c r="E192">
        <v>85</v>
      </c>
      <c r="F192">
        <v>57750</v>
      </c>
      <c r="G192">
        <v>12</v>
      </c>
      <c r="H192" t="s">
        <v>11</v>
      </c>
      <c r="I192" t="s">
        <v>34</v>
      </c>
      <c r="J192" t="str">
        <f t="shared" si="6"/>
        <v>Missing</v>
      </c>
      <c r="K192" t="str">
        <f t="shared" si="7"/>
        <v>Missing</v>
      </c>
      <c r="L192" t="str">
        <f t="shared" si="8"/>
        <v>Missing</v>
      </c>
      <c r="M192" t="str" cm="1">
        <f t="array" ref="M192">IF(D192="","Missing",_xlfn.IFS(D192&gt;=90,"A",D192&gt;=75,"B",D192&gt;=50,"C",TRUE,"F"))</f>
        <v>Missing</v>
      </c>
    </row>
    <row r="193" spans="1:13" x14ac:dyDescent="0.3">
      <c r="A193">
        <v>2191</v>
      </c>
      <c r="B193" t="s">
        <v>12</v>
      </c>
      <c r="C193" t="s">
        <v>18</v>
      </c>
      <c r="D193">
        <v>30</v>
      </c>
      <c r="F193" t="s">
        <v>30</v>
      </c>
      <c r="G193">
        <v>6</v>
      </c>
      <c r="H193" t="s">
        <v>19</v>
      </c>
      <c r="I193" t="s">
        <v>32</v>
      </c>
      <c r="J193" t="str">
        <f t="shared" si="6"/>
        <v>Fail</v>
      </c>
      <c r="K193" t="str">
        <f t="shared" si="7"/>
        <v>Missing</v>
      </c>
      <c r="L193" t="str">
        <f t="shared" si="8"/>
        <v>Missing</v>
      </c>
      <c r="M193" t="str" cm="1">
        <f t="array" ref="M193">IF(D193="","Missing",_xlfn.IFS(D193&gt;=90,"A",D193&gt;=75,"B",D193&gt;=50,"C",TRUE,"F"))</f>
        <v>F</v>
      </c>
    </row>
    <row r="194" spans="1:13" x14ac:dyDescent="0.3">
      <c r="A194">
        <v>2192</v>
      </c>
      <c r="B194" t="s">
        <v>17</v>
      </c>
      <c r="C194" t="s">
        <v>18</v>
      </c>
      <c r="D194">
        <v>69</v>
      </c>
      <c r="E194">
        <v>65</v>
      </c>
      <c r="F194">
        <v>28147</v>
      </c>
      <c r="G194">
        <v>3</v>
      </c>
      <c r="H194" t="s">
        <v>11</v>
      </c>
      <c r="I194" t="s">
        <v>34</v>
      </c>
      <c r="J194" t="str">
        <f t="shared" si="6"/>
        <v>Pass</v>
      </c>
      <c r="K194" t="str">
        <f t="shared" si="7"/>
        <v>Not Eligible</v>
      </c>
      <c r="L194" t="str">
        <f t="shared" si="8"/>
        <v>Normal</v>
      </c>
      <c r="M194" t="str" cm="1">
        <f t="array" ref="M194">IF(D194="","Missing",_xlfn.IFS(D194&gt;=90,"A",D194&gt;=75,"B",D194&gt;=50,"C",TRUE,"F"))</f>
        <v>C</v>
      </c>
    </row>
    <row r="195" spans="1:13" x14ac:dyDescent="0.3">
      <c r="A195">
        <v>2193</v>
      </c>
      <c r="B195" t="s">
        <v>22</v>
      </c>
      <c r="C195" t="s">
        <v>13</v>
      </c>
      <c r="D195" t="s">
        <v>30</v>
      </c>
      <c r="F195" t="s">
        <v>30</v>
      </c>
      <c r="G195">
        <v>10</v>
      </c>
      <c r="H195" t="s">
        <v>11</v>
      </c>
      <c r="I195" t="s">
        <v>36</v>
      </c>
      <c r="J195" t="str">
        <f t="shared" ref="J195:J201" si="9">IF(D195="","Missing",IF(D195&gt;=40,"Pass","Fail"))</f>
        <v>Missing</v>
      </c>
      <c r="K195" t="str">
        <f t="shared" ref="K195:K201" si="10">IF(OR(D195="",E195=""),"Missing",IF(AND(D195&gt;=40,E195&gt;=75),"Eligible","Not Eligible"))</f>
        <v>Missing</v>
      </c>
      <c r="L195" t="str">
        <f t="shared" ref="L195:L201" si="11">IF(OR(D195="",E195=""),"Missing",IF(OR(D195&lt;30,E195&lt;50),"Risk","Normal"))</f>
        <v>Missing</v>
      </c>
      <c r="M195" t="str" cm="1">
        <f t="array" ref="M195">IF(D195="","Missing",_xlfn.IFS(D195&gt;=90,"A",D195&gt;=75,"B",D195&gt;=50,"C",TRUE,"F"))</f>
        <v>Missing</v>
      </c>
    </row>
    <row r="196" spans="1:13" x14ac:dyDescent="0.3">
      <c r="A196">
        <v>2194</v>
      </c>
      <c r="B196" t="s">
        <v>9</v>
      </c>
      <c r="C196" t="s">
        <v>25</v>
      </c>
      <c r="D196" t="s">
        <v>30</v>
      </c>
      <c r="E196">
        <v>65</v>
      </c>
      <c r="F196" t="s">
        <v>30</v>
      </c>
      <c r="G196">
        <v>4</v>
      </c>
      <c r="H196" t="s">
        <v>21</v>
      </c>
      <c r="I196" t="s">
        <v>31</v>
      </c>
      <c r="J196" t="str">
        <f t="shared" si="9"/>
        <v>Missing</v>
      </c>
      <c r="K196" t="str">
        <f t="shared" si="10"/>
        <v>Missing</v>
      </c>
      <c r="L196" t="str">
        <f t="shared" si="11"/>
        <v>Missing</v>
      </c>
      <c r="M196" t="str" cm="1">
        <f t="array" ref="M196">IF(D196="","Missing",_xlfn.IFS(D196&gt;=90,"A",D196&gt;=75,"B",D196&gt;=50,"C",TRUE,"F"))</f>
        <v>Missing</v>
      </c>
    </row>
    <row r="197" spans="1:13" x14ac:dyDescent="0.3">
      <c r="A197">
        <v>2195</v>
      </c>
      <c r="B197" t="s">
        <v>28</v>
      </c>
      <c r="C197" t="s">
        <v>10</v>
      </c>
      <c r="D197" t="s">
        <v>30</v>
      </c>
      <c r="F197">
        <v>38189</v>
      </c>
      <c r="G197">
        <v>2</v>
      </c>
      <c r="H197" t="s">
        <v>19</v>
      </c>
      <c r="I197" t="s">
        <v>40</v>
      </c>
      <c r="J197" t="str">
        <f t="shared" si="9"/>
        <v>Missing</v>
      </c>
      <c r="K197" t="str">
        <f t="shared" si="10"/>
        <v>Missing</v>
      </c>
      <c r="L197" t="str">
        <f t="shared" si="11"/>
        <v>Missing</v>
      </c>
      <c r="M197" t="str" cm="1">
        <f t="array" ref="M197">IF(D197="","Missing",_xlfn.IFS(D197&gt;=90,"A",D197&gt;=75,"B",D197&gt;=50,"C",TRUE,"F"))</f>
        <v>Missing</v>
      </c>
    </row>
    <row r="198" spans="1:13" x14ac:dyDescent="0.3">
      <c r="A198">
        <v>2196</v>
      </c>
      <c r="B198" t="s">
        <v>12</v>
      </c>
      <c r="C198" t="s">
        <v>10</v>
      </c>
      <c r="D198" t="s">
        <v>30</v>
      </c>
      <c r="E198">
        <v>53</v>
      </c>
      <c r="F198">
        <v>51348</v>
      </c>
      <c r="G198">
        <v>7</v>
      </c>
      <c r="H198" t="s">
        <v>19</v>
      </c>
      <c r="I198" t="s">
        <v>32</v>
      </c>
      <c r="J198" t="str">
        <f t="shared" si="9"/>
        <v>Missing</v>
      </c>
      <c r="K198" t="str">
        <f t="shared" si="10"/>
        <v>Missing</v>
      </c>
      <c r="L198" t="str">
        <f t="shared" si="11"/>
        <v>Missing</v>
      </c>
      <c r="M198" t="str" cm="1">
        <f t="array" ref="M198">IF(D198="","Missing",_xlfn.IFS(D198&gt;=90,"A",D198&gt;=75,"B",D198&gt;=50,"C",TRUE,"F"))</f>
        <v>Missing</v>
      </c>
    </row>
    <row r="199" spans="1:13" x14ac:dyDescent="0.3">
      <c r="A199">
        <v>2197</v>
      </c>
      <c r="B199" t="s">
        <v>28</v>
      </c>
      <c r="C199" t="s">
        <v>10</v>
      </c>
      <c r="D199" t="s">
        <v>30</v>
      </c>
      <c r="E199">
        <v>89</v>
      </c>
      <c r="F199" t="s">
        <v>30</v>
      </c>
      <c r="G199">
        <v>6</v>
      </c>
      <c r="H199" t="s">
        <v>23</v>
      </c>
      <c r="I199" t="s">
        <v>40</v>
      </c>
      <c r="J199" t="str">
        <f t="shared" si="9"/>
        <v>Missing</v>
      </c>
      <c r="K199" t="str">
        <f t="shared" si="10"/>
        <v>Missing</v>
      </c>
      <c r="L199" t="str">
        <f t="shared" si="11"/>
        <v>Missing</v>
      </c>
      <c r="M199" t="str" cm="1">
        <f t="array" ref="M199">IF(D199="","Missing",_xlfn.IFS(D199&gt;=90,"A",D199&gt;=75,"B",D199&gt;=50,"C",TRUE,"F"))</f>
        <v>Missing</v>
      </c>
    </row>
    <row r="200" spans="1:13" x14ac:dyDescent="0.3">
      <c r="A200">
        <v>2198</v>
      </c>
      <c r="B200" t="s">
        <v>22</v>
      </c>
      <c r="C200" t="s">
        <v>16</v>
      </c>
      <c r="D200">
        <v>40</v>
      </c>
      <c r="E200">
        <v>24</v>
      </c>
      <c r="F200" t="s">
        <v>30</v>
      </c>
      <c r="G200">
        <v>8</v>
      </c>
      <c r="H200" t="s">
        <v>21</v>
      </c>
      <c r="I200" t="s">
        <v>36</v>
      </c>
      <c r="J200" t="str">
        <f t="shared" si="9"/>
        <v>Pass</v>
      </c>
      <c r="K200" t="str">
        <f t="shared" si="10"/>
        <v>Not Eligible</v>
      </c>
      <c r="L200" t="str">
        <f t="shared" si="11"/>
        <v>Risk</v>
      </c>
      <c r="M200" t="str" cm="1">
        <f t="array" ref="M200">IF(D200="","Missing",_xlfn.IFS(D200&gt;=90,"A",D200&gt;=75,"B",D200&gt;=50,"C",TRUE,"F"))</f>
        <v>F</v>
      </c>
    </row>
    <row r="201" spans="1:13" x14ac:dyDescent="0.3">
      <c r="A201">
        <v>2199</v>
      </c>
      <c r="B201" t="s">
        <v>26</v>
      </c>
      <c r="C201" t="s">
        <v>18</v>
      </c>
      <c r="D201" t="s">
        <v>30</v>
      </c>
      <c r="F201" t="s">
        <v>30</v>
      </c>
      <c r="G201">
        <v>9</v>
      </c>
      <c r="H201" t="s">
        <v>23</v>
      </c>
      <c r="I201" t="s">
        <v>38</v>
      </c>
      <c r="J201" t="str">
        <f t="shared" si="9"/>
        <v>Missing</v>
      </c>
      <c r="K201" t="str">
        <f t="shared" si="10"/>
        <v>Missing</v>
      </c>
      <c r="L201" t="str">
        <f t="shared" si="11"/>
        <v>Missing</v>
      </c>
      <c r="M201" t="str" cm="1">
        <f t="array" ref="M201">IF(D201="","Missing",_xlfn.IFS(D201&gt;=90,"A",D201&gt;=75,"B",D201&gt;=50,"C",TRUE,"F"))</f>
        <v>Missing</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Employee_Data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 AP</cp:lastModifiedBy>
  <dcterms:created xsi:type="dcterms:W3CDTF">2026-02-22T15:39:53Z</dcterms:created>
  <dcterms:modified xsi:type="dcterms:W3CDTF">2026-02-22T17:18:01Z</dcterms:modified>
</cp:coreProperties>
</file>